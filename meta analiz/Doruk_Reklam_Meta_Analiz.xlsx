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Yönetici Özeti" sheetId="1" state="visible" r:id="rId1"/>
    <sheet name="2. Kategori Analizi" sheetId="2" state="visible" r:id="rId2"/>
    <sheet name="3. Kampanya Detayı" sheetId="3" state="visible" r:id="rId3"/>
    <sheet name="4. 60 Bin TL Dağıtımı" sheetId="4" state="visible" r:id="rId4"/>
    <sheet name="5. Sayfa x Amaç Matrisi" sheetId="5" state="visible" r:id="rId5"/>
    <sheet name="6. Doktor Artış Senaryoları" sheetId="6" state="visible" r:id="rId6"/>
    <sheet name="Ham Veri (Kategorili)" sheetId="7" state="visible" r:id="rId7"/>
  </sheets>
  <definedNames>
    <definedName name="_xlnm._FilterDatabase" localSheetId="2" hidden="1">'3. Kampanya Detayı'!$A$1:$J$59</definedName>
    <definedName name="_xlnm._FilterDatabase" localSheetId="6" hidden="1">'Ham Veri (Kategorili)'!$A$1:$K$763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TL&quot;"/>
    <numFmt numFmtId="165" formatCode="#,##0 &quot;TL&quot;"/>
    <numFmt numFmtId="166" formatCode="0.0%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A5F"/>
      <sz val="11"/>
    </font>
    <font>
      <name val="Arial"/>
      <b val="1"/>
      <color rgb="00333333"/>
      <sz val="10"/>
    </font>
    <font>
      <name val="Arial"/>
      <b val="1"/>
      <color rgb="002E7D8A"/>
      <sz val="11"/>
    </font>
    <font>
      <name val="Arial"/>
      <b val="1"/>
      <color rgb="00C8A45C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2E7D8A"/>
      <sz val="10"/>
    </font>
    <font>
      <name val="Arial"/>
      <b val="1"/>
      <color rgb="00C8A45C"/>
      <sz val="10"/>
    </font>
    <font>
      <name val="Arial"/>
      <b val="1"/>
      <color rgb="001F3A5F"/>
      <sz val="10"/>
    </font>
    <font>
      <name val="Arial"/>
      <color rgb="00333333"/>
      <sz val="9"/>
    </font>
    <font>
      <name val="Arial"/>
      <b val="1"/>
      <color rgb="001F3A5F"/>
      <sz val="15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b val="1"/>
      <color rgb="000000FF"/>
      <sz val="13"/>
    </font>
    <font>
      <name val="Arial"/>
      <i val="1"/>
      <color rgb="00888888"/>
      <sz val="9"/>
    </font>
    <font>
      <name val="Arial"/>
      <b val="1"/>
      <color rgb="000000FF"/>
      <sz val="11"/>
    </font>
    <font>
      <name val="Arial"/>
      <i val="1"/>
      <color rgb="00777777"/>
      <sz val="9"/>
    </font>
    <font>
      <name val="Arial"/>
      <b val="1"/>
      <color rgb="000000FF"/>
      <sz val="12"/>
    </font>
    <font>
      <name val="Arial"/>
      <b val="1"/>
      <color rgb="006D4C7D"/>
      <sz val="10"/>
    </font>
    <font>
      <name val="Arial"/>
      <i val="1"/>
      <color rgb="006D4C7D"/>
      <sz val="9"/>
    </font>
    <font>
      <name val="Arial"/>
      <b val="1"/>
      <color rgb="006D4C7D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9FB"/>
      </patternFill>
    </fill>
    <fill>
      <patternFill patternType="solid">
        <fgColor rgb="002E7D8A"/>
      </patternFill>
    </fill>
    <fill>
      <patternFill patternType="solid">
        <fgColor rgb="00EAF2F5"/>
      </patternFill>
    </fill>
    <fill>
      <patternFill patternType="solid">
        <fgColor rgb="00C8A45C"/>
      </patternFill>
    </fill>
    <fill>
      <patternFill patternType="solid">
        <fgColor rgb="00FFFFFF"/>
      </patternFill>
    </fill>
    <fill>
      <patternFill patternType="solid">
        <fgColor rgb="006B7280"/>
      </patternFill>
    </fill>
    <fill>
      <patternFill patternType="solid">
        <fgColor rgb="00FFFF00"/>
      </patternFill>
    </fill>
    <fill>
      <patternFill patternType="solid">
        <fgColor rgb="006D4C7D"/>
      </patternFill>
    </fill>
    <fill>
      <patternFill patternType="solid">
        <fgColor rgb="00F3EE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5" fontId="5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5" fontId="7" fillId="5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1" fontId="8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5" fontId="10" fillId="0" borderId="1" pivotButton="0" quotePrefix="0" xfId="0"/>
    <xf numFmtId="166" fontId="11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165" fontId="1" fillId="2" borderId="1" pivotButton="0" quotePrefix="0" xfId="0"/>
    <xf numFmtId="166" fontId="1" fillId="2" borderId="1" pivotButton="0" quotePrefix="0" xfId="0"/>
    <xf numFmtId="0" fontId="1" fillId="6" borderId="1" applyAlignment="1" pivotButton="0" quotePrefix="0" xfId="0">
      <alignment horizontal="center" vertical="center" wrapText="1"/>
    </xf>
    <xf numFmtId="166" fontId="12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 wrapText="1"/>
    </xf>
    <xf numFmtId="165" fontId="10" fillId="7" borderId="1" pivotButton="0" quotePrefix="0" xfId="0"/>
    <xf numFmtId="166" fontId="11" fillId="7" borderId="1" pivotButton="0" quotePrefix="0" xfId="0"/>
    <xf numFmtId="0" fontId="10" fillId="3" borderId="1" applyAlignment="1" pivotButton="0" quotePrefix="0" xfId="0">
      <alignment horizontal="left" vertical="center" wrapText="1"/>
    </xf>
    <xf numFmtId="165" fontId="10" fillId="3" borderId="1" pivotButton="0" quotePrefix="0" xfId="0"/>
    <xf numFmtId="166" fontId="11" fillId="3" borderId="1" pivotButton="0" quotePrefix="0" xfId="0"/>
    <xf numFmtId="0" fontId="1" fillId="8" borderId="1" applyAlignment="1" pivotButton="0" quotePrefix="0" xfId="0">
      <alignment horizontal="left" vertical="center" wrapText="1"/>
    </xf>
    <xf numFmtId="165" fontId="1" fillId="8" borderId="1" pivotButton="0" quotePrefix="0" xfId="0"/>
    <xf numFmtId="166" fontId="1" fillId="8" borderId="1" pivotButton="0" quotePrefix="0" xfId="0"/>
    <xf numFmtId="0" fontId="16" fillId="6" borderId="0" applyAlignment="1" pivotButton="0" quotePrefix="0" xfId="0">
      <alignment horizontal="left" vertical="center" indent="1"/>
    </xf>
    <xf numFmtId="166" fontId="12" fillId="7" borderId="1" pivotButton="0" quotePrefix="0" xfId="0"/>
    <xf numFmtId="166" fontId="12" fillId="3" borderId="1" pivotButton="0" quotePrefix="0" xfId="0"/>
    <xf numFmtId="0" fontId="16" fillId="4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166" fontId="13" fillId="7" borderId="1" pivotButton="0" quotePrefix="0" xfId="0"/>
    <xf numFmtId="166" fontId="13" fillId="3" borderId="1" pivotButton="0" quotePrefix="0" xfId="0"/>
    <xf numFmtId="0" fontId="1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165" fontId="19" fillId="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right" vertical="center"/>
    </xf>
    <xf numFmtId="1" fontId="21" fillId="9" borderId="1" applyAlignment="1" pivotButton="0" quotePrefix="0" xfId="0">
      <alignment horizontal="center" vertical="center" wrapText="1"/>
    </xf>
    <xf numFmtId="165" fontId="9" fillId="7" borderId="1" pivotButton="0" quotePrefix="0" xfId="0"/>
    <xf numFmtId="165" fontId="9" fillId="3" borderId="1" pivotButton="0" quotePrefix="0" xfId="0"/>
    <xf numFmtId="0" fontId="22" fillId="0" borderId="0" pivotButton="0" quotePrefix="0" xfId="0"/>
    <xf numFmtId="165" fontId="23" fillId="9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textRotation="1"/>
    </xf>
    <xf numFmtId="0" fontId="10" fillId="0" borderId="1" applyAlignment="1" pivotButton="0" quotePrefix="0" xfId="0">
      <alignment horizontal="left" vertical="center" wrapText="1"/>
    </xf>
    <xf numFmtId="166" fontId="10" fillId="0" borderId="1" pivotButton="0" quotePrefix="0" xfId="0"/>
    <xf numFmtId="165" fontId="9" fillId="0" borderId="1" pivotButton="0" quotePrefix="0" xfId="0"/>
    <xf numFmtId="0" fontId="0" fillId="4" borderId="1" pivotButton="0" quotePrefix="0" xfId="0"/>
    <xf numFmtId="165" fontId="9" fillId="5" borderId="1" pivotButton="0" quotePrefix="0" xfId="0"/>
    <xf numFmtId="166" fontId="9" fillId="5" borderId="1" pivotButton="0" quotePrefix="0" xfId="0"/>
    <xf numFmtId="0" fontId="1" fillId="6" borderId="1" applyAlignment="1" pivotButton="0" quotePrefix="0" xfId="0">
      <alignment horizontal="left" vertical="center" textRotation="1"/>
    </xf>
    <xf numFmtId="0" fontId="0" fillId="6" borderId="1" pivotButton="0" quotePrefix="0" xfId="0"/>
    <xf numFmtId="0" fontId="1" fillId="10" borderId="1" applyAlignment="1" pivotButton="0" quotePrefix="0" xfId="0">
      <alignment horizontal="left" vertical="center" textRotation="1"/>
    </xf>
    <xf numFmtId="166" fontId="13" fillId="0" borderId="1" pivotButton="0" quotePrefix="0" xfId="0"/>
    <xf numFmtId="0" fontId="0" fillId="8" borderId="1" pivotButton="0" quotePrefix="0" xfId="0"/>
    <xf numFmtId="165" fontId="21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165" fontId="24" fillId="11" borderId="1" pivotButton="0" quotePrefix="0" xfId="0"/>
    <xf numFmtId="0" fontId="25" fillId="0" borderId="0" applyAlignment="1" pivotButton="0" quotePrefix="0" xfId="0">
      <alignment horizontal="left" vertical="center" wrapText="1"/>
    </xf>
    <xf numFmtId="166" fontId="26" fillId="0" borderId="0" pivotButton="0" quotePrefix="0" xfId="0"/>
    <xf numFmtId="0" fontId="27" fillId="10" borderId="0" applyAlignment="1" pivotButton="0" quotePrefix="0" xfId="0">
      <alignment horizontal="left" vertical="center" indent="1"/>
    </xf>
    <xf numFmtId="0" fontId="1" fillId="1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2" ht="34" customHeight="1">
      <c r="B2" s="1" t="inlineStr">
        <is>
          <t>DORUK SAĞLIK GRUBU — META (Instagram/Facebook) REKLAM ANALİZİ</t>
        </is>
      </c>
    </row>
    <row r="3" ht="20" customHeight="1">
      <c r="B3" s="2" t="inlineStr">
        <is>
          <t>Rapor Dönemi: 23 Haziran 2026 – 22 Temmuz 2026  (30 günlük pencere · 26 aktif gün)</t>
        </is>
      </c>
    </row>
    <row r="5">
      <c r="B5" s="3" t="inlineStr">
        <is>
          <t>ANA GÖSTERGELER</t>
        </is>
      </c>
    </row>
    <row r="6" ht="20" customHeight="1">
      <c r="B6" s="4" t="inlineStr">
        <is>
          <t>Toplam Harcama</t>
        </is>
      </c>
      <c r="C6" s="5" t="n"/>
      <c r="D6" s="5" t="n"/>
      <c r="E6" s="6">
        <f>SUM('Ham Veri (Kategorili)'!G2:G763)</f>
        <v/>
      </c>
      <c r="F6" s="5" t="n"/>
    </row>
    <row r="7" ht="20" customHeight="1">
      <c r="B7" s="7" t="inlineStr">
        <is>
          <t>Günlük Ort. (26 aktif gün)</t>
        </is>
      </c>
      <c r="C7" s="8" t="n"/>
      <c r="D7" s="8" t="n"/>
      <c r="E7" s="9">
        <f>SUM('Ham Veri (Kategorili)'!G2:G763)/26</f>
        <v/>
      </c>
      <c r="F7" s="8" t="n"/>
    </row>
    <row r="8" ht="20" customHeight="1">
      <c r="B8" s="4" t="inlineStr">
        <is>
          <t>Günlük Ort. (30 gün pencere)</t>
        </is>
      </c>
      <c r="C8" s="5" t="n"/>
      <c r="D8" s="5" t="n"/>
      <c r="E8" s="10">
        <f>SUM('Ham Veri (Kategorili)'!G2:G763)/30</f>
        <v/>
      </c>
      <c r="F8" s="5" t="n"/>
    </row>
    <row r="9" ht="20" customHeight="1">
      <c r="B9" s="7" t="inlineStr">
        <is>
          <t>Toplam Kampanya Sayısı</t>
        </is>
      </c>
      <c r="C9" s="8" t="n"/>
      <c r="D9" s="8" t="n"/>
      <c r="E9" s="11" t="n">
        <v>58</v>
      </c>
      <c r="F9" s="8" t="n"/>
    </row>
    <row r="10" ht="20" customHeight="1">
      <c r="B10" s="4" t="inlineStr">
        <is>
          <t>Sayfa Sayısı</t>
        </is>
      </c>
      <c r="C10" s="5" t="n"/>
      <c r="D10" s="5" t="n"/>
      <c r="E10" s="12" t="n">
        <v>6</v>
      </c>
      <c r="F10" s="5" t="n"/>
    </row>
    <row r="12">
      <c r="B12" s="3" t="inlineStr">
        <is>
          <t>ANA KATEGORİ DAĞILIMI (Sayfa Tipine Göre)</t>
        </is>
      </c>
    </row>
    <row r="13">
      <c r="B13" s="13" t="inlineStr">
        <is>
          <t>Ana Kategori</t>
        </is>
      </c>
      <c r="C13" s="13" t="inlineStr">
        <is>
          <t>Harcama</t>
        </is>
      </c>
      <c r="D13" s="13" t="inlineStr">
        <is>
          <t>Pay %</t>
        </is>
      </c>
      <c r="E13" s="13" t="inlineStr">
        <is>
          <t>Günlük Ort. (30g)</t>
        </is>
      </c>
    </row>
    <row r="14">
      <c r="B14" s="14" t="inlineStr">
        <is>
          <t>Hastane (Kurumsal)</t>
        </is>
      </c>
      <c r="C14" s="15">
        <f>SUMIFS('Ham Veri (Kategorili)'!$G$2:$G$763,'Ham Veri (Kategorili)'!$D$2:$D$763,"Hastane (Kurumsal)")</f>
        <v/>
      </c>
      <c r="D14" s="16">
        <f>SUMIFS('Ham Veri (Kategorili)'!$G$2:$G$763,'Ham Veri (Kategorili)'!$D$2:$D$763,"Hastane (Kurumsal)")/SUM('Ham Veri (Kategorili)'!$G$2:$G$763)</f>
        <v/>
      </c>
      <c r="E14" s="15">
        <f>SUMIFS('Ham Veri (Kategorili)'!$G$2:$G$763,'Ham Veri (Kategorili)'!$D$2:$D$763,"Hastane (Kurumsal)")/30</f>
        <v/>
      </c>
    </row>
    <row r="15">
      <c r="B15" s="14" t="inlineStr">
        <is>
          <t>Estetik Marka</t>
        </is>
      </c>
      <c r="C15" s="15">
        <f>SUMIFS('Ham Veri (Kategorili)'!$G$2:$G$763,'Ham Veri (Kategorili)'!$D$2:$D$763,"Estetik Marka")</f>
        <v/>
      </c>
      <c r="D15" s="16">
        <f>SUMIFS('Ham Veri (Kategorili)'!$G$2:$G$763,'Ham Veri (Kategorili)'!$D$2:$D$763,"Estetik Marka")/SUM('Ham Veri (Kategorili)'!$G$2:$G$763)</f>
        <v/>
      </c>
      <c r="E15" s="15">
        <f>SUMIFS('Ham Veri (Kategorili)'!$G$2:$G$763,'Ham Veri (Kategorili)'!$D$2:$D$763,"Estetik Marka")/30</f>
        <v/>
      </c>
    </row>
    <row r="16">
      <c r="B16" s="14" t="inlineStr">
        <is>
          <t>Doktor Sayfaları</t>
        </is>
      </c>
      <c r="C16" s="15">
        <f>SUMIFS('Ham Veri (Kategorili)'!$G$2:$G$763,'Ham Veri (Kategorili)'!$D$2:$D$763,"Doktor Sayfaları")</f>
        <v/>
      </c>
      <c r="D16" s="16">
        <f>SUMIFS('Ham Veri (Kategorili)'!$G$2:$G$763,'Ham Veri (Kategorili)'!$D$2:$D$763,"Doktor Sayfaları")/SUM('Ham Veri (Kategorili)'!$G$2:$G$763)</f>
        <v/>
      </c>
      <c r="E16" s="15">
        <f>SUMIFS('Ham Veri (Kategorili)'!$G$2:$G$763,'Ham Veri (Kategorili)'!$D$2:$D$763,"Doktor Sayfaları")/30</f>
        <v/>
      </c>
    </row>
    <row r="17">
      <c r="B17" s="17" t="inlineStr">
        <is>
          <t>TOPLAM</t>
        </is>
      </c>
      <c r="C17" s="18">
        <f>SUM('Ham Veri (Kategorili)'!$G$2:$G$763)</f>
        <v/>
      </c>
      <c r="D17" s="19">
        <f>SUM('Ham Veri (Kategorili)'!$G$2:$G$763)/SUM('Ham Veri (Kategorili)'!$G$2:$G$763)</f>
        <v/>
      </c>
      <c r="E17" s="18">
        <f>SUM('Ham Veri (Kategorili)'!$G$2:$G$763)/30</f>
        <v/>
      </c>
    </row>
    <row r="19">
      <c r="B19" s="3" t="inlineStr">
        <is>
          <t>KAMPANYA AMACI DAĞILIMI (Ne İçin Harcandı?)</t>
        </is>
      </c>
    </row>
    <row r="20">
      <c r="B20" s="20" t="inlineStr">
        <is>
          <t>Kampanya Amacı</t>
        </is>
      </c>
      <c r="C20" s="20" t="inlineStr">
        <is>
          <t>Harcama</t>
        </is>
      </c>
      <c r="D20" s="20" t="inlineStr">
        <is>
          <t>Pay %</t>
        </is>
      </c>
      <c r="E20" s="20" t="inlineStr">
        <is>
          <t>Günlük Ort. (30g)</t>
        </is>
      </c>
    </row>
    <row r="21">
      <c r="B21" s="14" t="inlineStr">
        <is>
          <t>Lead Toplama (Form)</t>
        </is>
      </c>
      <c r="C21" s="15">
        <f>SUMIFS('Ham Veri (Kategorili)'!$G$2:$G$763,'Ham Veri (Kategorili)'!$E$2:$E$763,"Lead Toplama (Form)")</f>
        <v/>
      </c>
      <c r="D21" s="21">
        <f>SUMIFS('Ham Veri (Kategorili)'!$G$2:$G$763,'Ham Veri (Kategorili)'!$E$2:$E$763,"Lead Toplama (Form)")/SUM('Ham Veri (Kategorili)'!$G$2:$G$763)</f>
        <v/>
      </c>
      <c r="E21" s="15">
        <f>SUMIFS('Ham Veri (Kategorili)'!$G$2:$G$763,'Ham Veri (Kategorili)'!$E$2:$E$763,"Lead Toplama (Form)")/30</f>
        <v/>
      </c>
    </row>
    <row r="22">
      <c r="B22" s="14" t="inlineStr">
        <is>
          <t>Instagram Öne Çıkarma</t>
        </is>
      </c>
      <c r="C22" s="15">
        <f>SUMIFS('Ham Veri (Kategorili)'!$G$2:$G$763,'Ham Veri (Kategorili)'!$E$2:$E$763,"Instagram Öne Çıkarma")</f>
        <v/>
      </c>
      <c r="D22" s="21">
        <f>SUMIFS('Ham Veri (Kategorili)'!$G$2:$G$763,'Ham Veri (Kategorili)'!$E$2:$E$763,"Instagram Öne Çıkarma")/SUM('Ham Veri (Kategorili)'!$G$2:$G$763)</f>
        <v/>
      </c>
      <c r="E22" s="15">
        <f>SUMIFS('Ham Veri (Kategorili)'!$G$2:$G$763,'Ham Veri (Kategorili)'!$E$2:$E$763,"Instagram Öne Çıkarma")/30</f>
        <v/>
      </c>
    </row>
    <row r="23">
      <c r="B23" s="14" t="inlineStr">
        <is>
          <t>Marka Bilinirliği (Erişim)</t>
        </is>
      </c>
      <c r="C23" s="15">
        <f>SUMIFS('Ham Veri (Kategorili)'!$G$2:$G$763,'Ham Veri (Kategorili)'!$E$2:$E$763,"Marka Bilinirliği (Erişim)")</f>
        <v/>
      </c>
      <c r="D23" s="21">
        <f>SUMIFS('Ham Veri (Kategorili)'!$G$2:$G$763,'Ham Veri (Kategorili)'!$E$2:$E$763,"Marka Bilinirliği (Erişim)")/SUM('Ham Veri (Kategorili)'!$G$2:$G$763)</f>
        <v/>
      </c>
      <c r="E23" s="15">
        <f>SUMIFS('Ham Veri (Kategorili)'!$G$2:$G$763,'Ham Veri (Kategorili)'!$E$2:$E$763,"Marka Bilinirliği (Erişim)")/30</f>
        <v/>
      </c>
    </row>
    <row r="26">
      <c r="B26" s="22" t="inlineStr">
        <is>
          <t>YORUM / TESPİTLER</t>
        </is>
      </c>
    </row>
    <row r="27">
      <c r="B27" s="23" t="inlineStr">
        <is>
          <t>• Harcamanın %84,5'i Hastane (Kurumsal) sayfasından; kalan doktor ve estetik marka sayfalarından yapılıyor.</t>
        </is>
      </c>
    </row>
    <row r="28">
      <c r="B28" s="23" t="inlineStr">
        <is>
          <t>• Amaç bazında en büyük kalem Lead Toplama (%51,2) — asıl hedef hasta/başvuru kaydı toplamak.</t>
        </is>
      </c>
    </row>
    <row r="29">
      <c r="B29" s="23" t="inlineStr">
        <is>
          <t>• Instagram Öne Çıkarmalar toplam bütçenin %27'si; bunun içinde Doruk Hastaneleri %64,6, Doktorlar %22,8, Estetik %12,6.</t>
        </is>
      </c>
    </row>
    <row r="30">
      <c r="B30" s="23" t="inlineStr">
        <is>
          <t>• Marka Bilinirliği (Erişim) %21,8 — en büyük parça "Doktor - Bilinirlik" kampanyaları (Nilüfer + Yıldırım).</t>
        </is>
      </c>
    </row>
    <row r="31">
      <c r="B31" s="23" t="inlineStr">
        <is>
          <t>• Detaylı kırılımlar için "2. Kategori Analizi", kampanya bazında "3. Kampanya Detayı",</t>
        </is>
      </c>
    </row>
    <row r="32">
      <c r="B32" s="23" t="inlineStr">
        <is>
          <t xml:space="preserve">  günlük 60.000 TL senaryosu için "4. 60 Bin TL Dağıtımı" sekmesine bakınız.</t>
        </is>
      </c>
    </row>
  </sheetData>
  <mergeCells count="20">
    <mergeCell ref="B2:G2"/>
    <mergeCell ref="B8:D8"/>
    <mergeCell ref="B5"/>
    <mergeCell ref="E8:F8"/>
    <mergeCell ref="B29:G29"/>
    <mergeCell ref="B10:D10"/>
    <mergeCell ref="B28:G28"/>
    <mergeCell ref="E10:F10"/>
    <mergeCell ref="B9:D9"/>
    <mergeCell ref="B30:G30"/>
    <mergeCell ref="E9:F9"/>
    <mergeCell ref="B6:D6"/>
    <mergeCell ref="E6:F6"/>
    <mergeCell ref="B32:G32"/>
    <mergeCell ref="B26:G26"/>
    <mergeCell ref="B7:D7"/>
    <mergeCell ref="B3:G3"/>
    <mergeCell ref="E7:F7"/>
    <mergeCell ref="B31:G31"/>
    <mergeCell ref="B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5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2" ht="26" customHeight="1">
      <c r="B2" s="24" t="inlineStr">
        <is>
          <t>KATEGORİ ANALİZİ — Titiz Kırılım</t>
        </is>
      </c>
    </row>
    <row r="4" ht="26" customHeight="1">
      <c r="B4" s="25" t="inlineStr">
        <is>
          <t>A) ANA KATEGORİ — Sayfa Tipi (Hastane / Marka / Doktor)</t>
        </is>
      </c>
    </row>
    <row r="5">
      <c r="B5" s="13" t="inlineStr">
        <is>
          <t>Kategori</t>
        </is>
      </c>
      <c r="C5" s="13" t="inlineStr">
        <is>
          <t>Harcama (TL)</t>
        </is>
      </c>
      <c r="D5" s="13" t="inlineStr">
        <is>
          <t>Pay %</t>
        </is>
      </c>
      <c r="E5" s="13" t="inlineStr">
        <is>
          <t>Günlük Ort. (30g)</t>
        </is>
      </c>
      <c r="F5" s="13" t="inlineStr">
        <is>
          <t>Aktif Gün Ort.</t>
        </is>
      </c>
    </row>
    <row r="6">
      <c r="B6" s="26" t="inlineStr">
        <is>
          <t>Hastane (Kurumsal)</t>
        </is>
      </c>
      <c r="C6" s="27">
        <f>SUMIFS('Ham Veri (Kategorili)'!$G$2:$G$763,'Ham Veri (Kategorili)'!$D$2:$D$763,"Hastane (Kurumsal)")</f>
        <v/>
      </c>
      <c r="D6" s="28">
        <f>SUMIFS('Ham Veri (Kategorili)'!$G$2:$G$763,'Ham Veri (Kategorili)'!$D$2:$D$763,"Hastane (Kurumsal)")/SUM('Ham Veri (Kategorili)'!$G$2:$G$763)</f>
        <v/>
      </c>
      <c r="E6" s="27">
        <f>SUMIFS('Ham Veri (Kategorili)'!$G$2:$G$763,'Ham Veri (Kategorili)'!$D$2:$D$763,"Hastane (Kurumsal)")/30</f>
        <v/>
      </c>
      <c r="F6" s="27">
        <f>SUMIFS('Ham Veri (Kategorili)'!$G$2:$G$763,'Ham Veri (Kategorili)'!$D$2:$D$763,"Hastane (Kurumsal)")/26</f>
        <v/>
      </c>
    </row>
    <row r="7">
      <c r="B7" s="29" t="inlineStr">
        <is>
          <t>Estetik Marka</t>
        </is>
      </c>
      <c r="C7" s="30">
        <f>SUMIFS('Ham Veri (Kategorili)'!$G$2:$G$763,'Ham Veri (Kategorili)'!$D$2:$D$763,"Estetik Marka")</f>
        <v/>
      </c>
      <c r="D7" s="31">
        <f>SUMIFS('Ham Veri (Kategorili)'!$G$2:$G$763,'Ham Veri (Kategorili)'!$D$2:$D$763,"Estetik Marka")/SUM('Ham Veri (Kategorili)'!$G$2:$G$763)</f>
        <v/>
      </c>
      <c r="E7" s="30">
        <f>SUMIFS('Ham Veri (Kategorili)'!$G$2:$G$763,'Ham Veri (Kategorili)'!$D$2:$D$763,"Estetik Marka")/30</f>
        <v/>
      </c>
      <c r="F7" s="30">
        <f>SUMIFS('Ham Veri (Kategorili)'!$G$2:$G$763,'Ham Veri (Kategorili)'!$D$2:$D$763,"Estetik Marka")/26</f>
        <v/>
      </c>
    </row>
    <row r="8">
      <c r="B8" s="26" t="inlineStr">
        <is>
          <t>Doktor Sayfaları</t>
        </is>
      </c>
      <c r="C8" s="27">
        <f>SUMIFS('Ham Veri (Kategorili)'!$G$2:$G$763,'Ham Veri (Kategorili)'!$D$2:$D$763,"Doktor Sayfaları")</f>
        <v/>
      </c>
      <c r="D8" s="28">
        <f>SUMIFS('Ham Veri (Kategorili)'!$G$2:$G$763,'Ham Veri (Kategorili)'!$D$2:$D$763,"Doktor Sayfaları")/SUM('Ham Veri (Kategorili)'!$G$2:$G$763)</f>
        <v/>
      </c>
      <c r="E8" s="27">
        <f>SUMIFS('Ham Veri (Kategorili)'!$G$2:$G$763,'Ham Veri (Kategorili)'!$D$2:$D$763,"Doktor Sayfaları")/30</f>
        <v/>
      </c>
      <c r="F8" s="27">
        <f>SUMIFS('Ham Veri (Kategorili)'!$G$2:$G$763,'Ham Veri (Kategorili)'!$D$2:$D$763,"Doktor Sayfaları")/26</f>
        <v/>
      </c>
    </row>
    <row r="9">
      <c r="B9" s="32" t="inlineStr">
        <is>
          <t>TOPLAM</t>
        </is>
      </c>
      <c r="C9" s="33">
        <f>SUM(C6:C8)</f>
        <v/>
      </c>
      <c r="D9" s="34">
        <f>SUM(D6:D8)</f>
        <v/>
      </c>
      <c r="E9" s="33">
        <f>SUM(E6:E8)</f>
        <v/>
      </c>
      <c r="F9" s="33">
        <f>SUM(F6:F8)</f>
        <v/>
      </c>
    </row>
    <row r="11" ht="26" customHeight="1">
      <c r="B11" s="35" t="inlineStr">
        <is>
          <t>B) KAMPANYA AMACI — Ne İçin? (Lead / Öne Çıkarma / Bilinirlik)</t>
        </is>
      </c>
    </row>
    <row r="12">
      <c r="B12" s="20" t="inlineStr">
        <is>
          <t>Kategori</t>
        </is>
      </c>
      <c r="C12" s="20" t="inlineStr">
        <is>
          <t>Harcama (TL)</t>
        </is>
      </c>
      <c r="D12" s="20" t="inlineStr">
        <is>
          <t>Pay %</t>
        </is>
      </c>
      <c r="E12" s="20" t="inlineStr">
        <is>
          <t>Günlük Ort. (30g)</t>
        </is>
      </c>
      <c r="F12" s="20" t="inlineStr">
        <is>
          <t>Aktif Gün Ort.</t>
        </is>
      </c>
    </row>
    <row r="13">
      <c r="B13" s="26" t="inlineStr">
        <is>
          <t>Lead Toplama (Form)</t>
        </is>
      </c>
      <c r="C13" s="27">
        <f>SUMIFS('Ham Veri (Kategorili)'!$G$2:$G$763,'Ham Veri (Kategorili)'!$E$2:$E$763,"Lead Toplama (Form)")</f>
        <v/>
      </c>
      <c r="D13" s="36">
        <f>SUMIFS('Ham Veri (Kategorili)'!$G$2:$G$763,'Ham Veri (Kategorili)'!$E$2:$E$763,"Lead Toplama (Form)")/SUM('Ham Veri (Kategorili)'!$G$2:$G$763)</f>
        <v/>
      </c>
      <c r="E13" s="27">
        <f>SUMIFS('Ham Veri (Kategorili)'!$G$2:$G$763,'Ham Veri (Kategorili)'!$E$2:$E$763,"Lead Toplama (Form)")/30</f>
        <v/>
      </c>
      <c r="F13" s="27">
        <f>SUMIFS('Ham Veri (Kategorili)'!$G$2:$G$763,'Ham Veri (Kategorili)'!$E$2:$E$763,"Lead Toplama (Form)")/26</f>
        <v/>
      </c>
    </row>
    <row r="14">
      <c r="B14" s="29" t="inlineStr">
        <is>
          <t>Instagram Öne Çıkarma</t>
        </is>
      </c>
      <c r="C14" s="30">
        <f>SUMIFS('Ham Veri (Kategorili)'!$G$2:$G$763,'Ham Veri (Kategorili)'!$E$2:$E$763,"Instagram Öne Çıkarma")</f>
        <v/>
      </c>
      <c r="D14" s="37">
        <f>SUMIFS('Ham Veri (Kategorili)'!$G$2:$G$763,'Ham Veri (Kategorili)'!$E$2:$E$763,"Instagram Öne Çıkarma")/SUM('Ham Veri (Kategorili)'!$G$2:$G$763)</f>
        <v/>
      </c>
      <c r="E14" s="30">
        <f>SUMIFS('Ham Veri (Kategorili)'!$G$2:$G$763,'Ham Veri (Kategorili)'!$E$2:$E$763,"Instagram Öne Çıkarma")/30</f>
        <v/>
      </c>
      <c r="F14" s="30">
        <f>SUMIFS('Ham Veri (Kategorili)'!$G$2:$G$763,'Ham Veri (Kategorili)'!$E$2:$E$763,"Instagram Öne Çıkarma")/26</f>
        <v/>
      </c>
    </row>
    <row r="15">
      <c r="B15" s="26" t="inlineStr">
        <is>
          <t>Marka Bilinirliği (Erişim)</t>
        </is>
      </c>
      <c r="C15" s="27">
        <f>SUMIFS('Ham Veri (Kategorili)'!$G$2:$G$763,'Ham Veri (Kategorili)'!$E$2:$E$763,"Marka Bilinirliği (Erişim)")</f>
        <v/>
      </c>
      <c r="D15" s="36">
        <f>SUMIFS('Ham Veri (Kategorili)'!$G$2:$G$763,'Ham Veri (Kategorili)'!$E$2:$E$763,"Marka Bilinirliği (Erişim)")/SUM('Ham Veri (Kategorili)'!$G$2:$G$763)</f>
        <v/>
      </c>
      <c r="E15" s="27">
        <f>SUMIFS('Ham Veri (Kategorili)'!$G$2:$G$763,'Ham Veri (Kategorili)'!$E$2:$E$763,"Marka Bilinirliği (Erişim)")/30</f>
        <v/>
      </c>
      <c r="F15" s="27">
        <f>SUMIFS('Ham Veri (Kategorili)'!$G$2:$G$763,'Ham Veri (Kategorili)'!$E$2:$E$763,"Marka Bilinirliği (Erişim)")/26</f>
        <v/>
      </c>
    </row>
    <row r="16">
      <c r="B16" s="32" t="inlineStr">
        <is>
          <t>TOPLAM</t>
        </is>
      </c>
      <c r="C16" s="33">
        <f>SUM(C13:C15)</f>
        <v/>
      </c>
      <c r="D16" s="34">
        <f>SUM(D13:D15)</f>
        <v/>
      </c>
      <c r="E16" s="33">
        <f>SUM(E13:E15)</f>
        <v/>
      </c>
      <c r="F16" s="33">
        <f>SUM(F13:F15)</f>
        <v/>
      </c>
    </row>
    <row r="18" ht="26" customHeight="1">
      <c r="B18" s="38" t="inlineStr">
        <is>
          <t>C) INSTAGRAM ÖNE ÇIKARMA — Alt Kırılım (Hastane vs Doktor vs Estetik)</t>
        </is>
      </c>
    </row>
    <row r="19">
      <c r="B19" s="13" t="inlineStr">
        <is>
          <t>Kategori</t>
        </is>
      </c>
      <c r="C19" s="13" t="inlineStr">
        <is>
          <t>Harcama (TL)</t>
        </is>
      </c>
      <c r="D19" s="13" t="inlineStr">
        <is>
          <t>Pay %</t>
        </is>
      </c>
      <c r="E19" s="13" t="inlineStr">
        <is>
          <t>Günlük Ort. (30g)</t>
        </is>
      </c>
      <c r="F19" s="13" t="inlineStr">
        <is>
          <t>Aktif Gün Ort.</t>
        </is>
      </c>
    </row>
    <row r="20">
      <c r="B20" s="26" t="inlineStr">
        <is>
          <t>Öne Çıkarma - Doruk Hastaneleri</t>
        </is>
      </c>
      <c r="C20" s="27">
        <f>SUMIFS('Ham Veri (Kategorili)'!$G$2:$G$763,'Ham Veri (Kategorili)'!$F$2:$F$763,"Öne Çıkarma - Doruk Hastaneleri")</f>
        <v/>
      </c>
      <c r="D20" s="28">
        <f>SUMIFS('Ham Veri (Kategorili)'!$G$2:$G$763,'Ham Veri (Kategorili)'!$F$2:$F$763,"Öne Çıkarma - Doruk Hastaneleri")/SUM('Ham Veri (Kategorili)'!$G$2:$G$763)</f>
        <v/>
      </c>
      <c r="E20" s="27">
        <f>SUMIFS('Ham Veri (Kategorili)'!$G$2:$G$763,'Ham Veri (Kategorili)'!$F$2:$F$763,"Öne Çıkarma - Doruk Hastaneleri")/30</f>
        <v/>
      </c>
      <c r="F20" s="27">
        <f>SUMIFS('Ham Veri (Kategorili)'!$G$2:$G$763,'Ham Veri (Kategorili)'!$F$2:$F$763,"Öne Çıkarma - Doruk Hastaneleri")/26</f>
        <v/>
      </c>
    </row>
    <row r="21">
      <c r="B21" s="29" t="inlineStr">
        <is>
          <t>Öne Çıkarma - Doktor</t>
        </is>
      </c>
      <c r="C21" s="30">
        <f>SUMIFS('Ham Veri (Kategorili)'!$G$2:$G$763,'Ham Veri (Kategorili)'!$F$2:$F$763,"Öne Çıkarma - Doktor")</f>
        <v/>
      </c>
      <c r="D21" s="31">
        <f>SUMIFS('Ham Veri (Kategorili)'!$G$2:$G$763,'Ham Veri (Kategorili)'!$F$2:$F$763,"Öne Çıkarma - Doktor")/SUM('Ham Veri (Kategorili)'!$G$2:$G$763)</f>
        <v/>
      </c>
      <c r="E21" s="30">
        <f>SUMIFS('Ham Veri (Kategorili)'!$G$2:$G$763,'Ham Veri (Kategorili)'!$F$2:$F$763,"Öne Çıkarma - Doktor")/30</f>
        <v/>
      </c>
      <c r="F21" s="30">
        <f>SUMIFS('Ham Veri (Kategorili)'!$G$2:$G$763,'Ham Veri (Kategorili)'!$F$2:$F$763,"Öne Çıkarma - Doktor")/26</f>
        <v/>
      </c>
    </row>
    <row r="22">
      <c r="B22" s="26" t="inlineStr">
        <is>
          <t>Öne Çıkarma - Doruk Estetik</t>
        </is>
      </c>
      <c r="C22" s="27">
        <f>SUMIFS('Ham Veri (Kategorili)'!$G$2:$G$763,'Ham Veri (Kategorili)'!$F$2:$F$763,"Öne Çıkarma - Doruk Estetik")</f>
        <v/>
      </c>
      <c r="D22" s="28">
        <f>SUMIFS('Ham Veri (Kategorili)'!$G$2:$G$763,'Ham Veri (Kategorili)'!$F$2:$F$763,"Öne Çıkarma - Doruk Estetik")/SUM('Ham Veri (Kategorili)'!$G$2:$G$763)</f>
        <v/>
      </c>
      <c r="E22" s="27">
        <f>SUMIFS('Ham Veri (Kategorili)'!$G$2:$G$763,'Ham Veri (Kategorili)'!$F$2:$F$763,"Öne Çıkarma - Doruk Estetik")/30</f>
        <v/>
      </c>
      <c r="F22" s="27">
        <f>SUMIFS('Ham Veri (Kategorili)'!$G$2:$G$763,'Ham Veri (Kategorili)'!$F$2:$F$763,"Öne Çıkarma - Doruk Estetik")/26</f>
        <v/>
      </c>
    </row>
    <row r="23">
      <c r="B23" s="32" t="inlineStr">
        <is>
          <t>TOPLAM</t>
        </is>
      </c>
      <c r="C23" s="33">
        <f>SUM(C20:C22)</f>
        <v/>
      </c>
      <c r="D23" s="34">
        <f>SUM(D20:D22)</f>
        <v/>
      </c>
      <c r="E23" s="33">
        <f>SUM(E20:E22)</f>
        <v/>
      </c>
      <c r="F23" s="33">
        <f>SUM(F20:F22)</f>
        <v/>
      </c>
    </row>
    <row r="25" ht="26" customHeight="1">
      <c r="B25" s="25" t="inlineStr">
        <is>
          <t>D) LEAD TOPLAMA — Konu Bazında Alt Kırılım</t>
        </is>
      </c>
    </row>
    <row r="26">
      <c r="B26" s="39" t="inlineStr">
        <is>
          <t>Kategori</t>
        </is>
      </c>
      <c r="C26" s="39" t="inlineStr">
        <is>
          <t>Harcama (TL)</t>
        </is>
      </c>
      <c r="D26" s="39" t="inlineStr">
        <is>
          <t>Pay %</t>
        </is>
      </c>
      <c r="E26" s="39" t="inlineStr">
        <is>
          <t>Günlük Ort. (30g)</t>
        </is>
      </c>
      <c r="F26" s="39" t="inlineStr">
        <is>
          <t>Aktif Gün Ort.</t>
        </is>
      </c>
    </row>
    <row r="27">
      <c r="B27" s="26" t="inlineStr">
        <is>
          <t>Lead - Kadın Doğum/Gebe/FTR</t>
        </is>
      </c>
      <c r="C27" s="27">
        <f>SUMIFS('Ham Veri (Kategorili)'!$G$2:$G$763,'Ham Veri (Kategorili)'!$F$2:$F$763,"Lead - Kadın Doğum/Gebe/FTR")</f>
        <v/>
      </c>
      <c r="D27" s="40">
        <f>SUMIFS('Ham Veri (Kategorili)'!$G$2:$G$763,'Ham Veri (Kategorili)'!$F$2:$F$763,"Lead - Kadın Doğum/Gebe/FTR")/SUM('Ham Veri (Kategorili)'!$G$2:$G$763)</f>
        <v/>
      </c>
      <c r="E27" s="27">
        <f>SUMIFS('Ham Veri (Kategorili)'!$G$2:$G$763,'Ham Veri (Kategorili)'!$F$2:$F$763,"Lead - Kadın Doğum/Gebe/FTR")/30</f>
        <v/>
      </c>
      <c r="F27" s="27">
        <f>SUMIFS('Ham Veri (Kategorili)'!$G$2:$G$763,'Ham Veri (Kategorili)'!$F$2:$F$763,"Lead - Kadın Doğum/Gebe/FTR")/26</f>
        <v/>
      </c>
    </row>
    <row r="28">
      <c r="B28" s="29" t="inlineStr">
        <is>
          <t>Lead - Estetik/Plastik/Saç</t>
        </is>
      </c>
      <c r="C28" s="30">
        <f>SUMIFS('Ham Veri (Kategorili)'!$G$2:$G$763,'Ham Veri (Kategorili)'!$F$2:$F$763,"Lead - Estetik/Plastik/Saç")</f>
        <v/>
      </c>
      <c r="D28" s="41">
        <f>SUMIFS('Ham Veri (Kategorili)'!$G$2:$G$763,'Ham Veri (Kategorili)'!$F$2:$F$763,"Lead - Estetik/Plastik/Saç")/SUM('Ham Veri (Kategorili)'!$G$2:$G$763)</f>
        <v/>
      </c>
      <c r="E28" s="30">
        <f>SUMIFS('Ham Veri (Kategorili)'!$G$2:$G$763,'Ham Veri (Kategorili)'!$F$2:$F$763,"Lead - Estetik/Plastik/Saç")/30</f>
        <v/>
      </c>
      <c r="F28" s="30">
        <f>SUMIFS('Ham Veri (Kategorili)'!$G$2:$G$763,'Ham Veri (Kategorili)'!$F$2:$F$763,"Lead - Estetik/Plastik/Saç")/26</f>
        <v/>
      </c>
    </row>
    <row r="29">
      <c r="B29" s="26" t="inlineStr">
        <is>
          <t>Lead - Check-up/Tarama</t>
        </is>
      </c>
      <c r="C29" s="27">
        <f>SUMIFS('Ham Veri (Kategorili)'!$G$2:$G$763,'Ham Veri (Kategorili)'!$F$2:$F$763,"Lead - Check-up/Tarama")</f>
        <v/>
      </c>
      <c r="D29" s="40">
        <f>SUMIFS('Ham Veri (Kategorili)'!$G$2:$G$763,'Ham Veri (Kategorili)'!$F$2:$F$763,"Lead - Check-up/Tarama")/SUM('Ham Veri (Kategorili)'!$G$2:$G$763)</f>
        <v/>
      </c>
      <c r="E29" s="27">
        <f>SUMIFS('Ham Veri (Kategorili)'!$G$2:$G$763,'Ham Veri (Kategorili)'!$F$2:$F$763,"Lead - Check-up/Tarama")/30</f>
        <v/>
      </c>
      <c r="F29" s="27">
        <f>SUMIFS('Ham Veri (Kategorili)'!$G$2:$G$763,'Ham Veri (Kategorili)'!$F$2:$F$763,"Lead - Check-up/Tarama")/26</f>
        <v/>
      </c>
    </row>
    <row r="30">
      <c r="B30" s="29" t="inlineStr">
        <is>
          <t>Lead - İK/İş Başvurusu</t>
        </is>
      </c>
      <c r="C30" s="30">
        <f>SUMIFS('Ham Veri (Kategorili)'!$G$2:$G$763,'Ham Veri (Kategorili)'!$F$2:$F$763,"Lead - İK/İş Başvurusu")</f>
        <v/>
      </c>
      <c r="D30" s="41">
        <f>SUMIFS('Ham Veri (Kategorili)'!$G$2:$G$763,'Ham Veri (Kategorili)'!$F$2:$F$763,"Lead - İK/İş Başvurusu")/SUM('Ham Veri (Kategorili)'!$G$2:$G$763)</f>
        <v/>
      </c>
      <c r="E30" s="30">
        <f>SUMIFS('Ham Veri (Kategorili)'!$G$2:$G$763,'Ham Veri (Kategorili)'!$F$2:$F$763,"Lead - İK/İş Başvurusu")/30</f>
        <v/>
      </c>
      <c r="F30" s="30">
        <f>SUMIFS('Ham Veri (Kategorili)'!$G$2:$G$763,'Ham Veri (Kategorili)'!$F$2:$F$763,"Lead - İK/İş Başvurusu")/26</f>
        <v/>
      </c>
    </row>
    <row r="31">
      <c r="B31" s="32" t="inlineStr">
        <is>
          <t>TOPLAM</t>
        </is>
      </c>
      <c r="C31" s="33">
        <f>SUM(C27:C30)</f>
        <v/>
      </c>
      <c r="D31" s="34">
        <f>SUM(D27:D30)</f>
        <v/>
      </c>
      <c r="E31" s="33">
        <f>SUM(E27:E30)</f>
        <v/>
      </c>
      <c r="F31" s="33">
        <f>SUM(F27:F30)</f>
        <v/>
      </c>
    </row>
    <row r="33" ht="26" customHeight="1">
      <c r="B33" s="35" t="inlineStr">
        <is>
          <t>E) MARKA BİLİNİRLİĞİ — Alt Kırılım</t>
        </is>
      </c>
    </row>
    <row r="34">
      <c r="B34" s="20" t="inlineStr">
        <is>
          <t>Kategori</t>
        </is>
      </c>
      <c r="C34" s="20" t="inlineStr">
        <is>
          <t>Harcama (TL)</t>
        </is>
      </c>
      <c r="D34" s="20" t="inlineStr">
        <is>
          <t>Pay %</t>
        </is>
      </c>
      <c r="E34" s="20" t="inlineStr">
        <is>
          <t>Günlük Ort. (30g)</t>
        </is>
      </c>
      <c r="F34" s="20" t="inlineStr">
        <is>
          <t>Aktif Gün Ort.</t>
        </is>
      </c>
    </row>
    <row r="35">
      <c r="B35" s="26" t="inlineStr">
        <is>
          <t>Bilinirlik - Doktor Tanıtım</t>
        </is>
      </c>
      <c r="C35" s="27">
        <f>SUMIFS('Ham Veri (Kategorili)'!$G$2:$G$763,'Ham Veri (Kategorili)'!$F$2:$F$763,"Bilinirlik - Doktor Tanıtım")</f>
        <v/>
      </c>
      <c r="D35" s="36">
        <f>SUMIFS('Ham Veri (Kategorili)'!$G$2:$G$763,'Ham Veri (Kategorili)'!$F$2:$F$763,"Bilinirlik - Doktor Tanıtım")/SUM('Ham Veri (Kategorili)'!$G$2:$G$763)</f>
        <v/>
      </c>
      <c r="E35" s="27">
        <f>SUMIFS('Ham Veri (Kategorili)'!$G$2:$G$763,'Ham Veri (Kategorili)'!$F$2:$F$763,"Bilinirlik - Doktor Tanıtım")/30</f>
        <v/>
      </c>
      <c r="F35" s="27">
        <f>SUMIFS('Ham Veri (Kategorili)'!$G$2:$G$763,'Ham Veri (Kategorili)'!$F$2:$F$763,"Bilinirlik - Doktor Tanıtım")/26</f>
        <v/>
      </c>
    </row>
    <row r="36">
      <c r="B36" s="29" t="inlineStr">
        <is>
          <t>Bilinirlik - Kurumsal (ÖSS-TSS)</t>
        </is>
      </c>
      <c r="C36" s="30">
        <f>SUMIFS('Ham Veri (Kategorili)'!$G$2:$G$763,'Ham Veri (Kategorili)'!$F$2:$F$763,"Bilinirlik - Kurumsal (ÖSS-TSS)")</f>
        <v/>
      </c>
      <c r="D36" s="37">
        <f>SUMIFS('Ham Veri (Kategorili)'!$G$2:$G$763,'Ham Veri (Kategorili)'!$F$2:$F$763,"Bilinirlik - Kurumsal (ÖSS-TSS)")/SUM('Ham Veri (Kategorili)'!$G$2:$G$763)</f>
        <v/>
      </c>
      <c r="E36" s="30">
        <f>SUMIFS('Ham Veri (Kategorili)'!$G$2:$G$763,'Ham Veri (Kategorili)'!$F$2:$F$763,"Bilinirlik - Kurumsal (ÖSS-TSS)")/30</f>
        <v/>
      </c>
      <c r="F36" s="30">
        <f>SUMIFS('Ham Veri (Kategorili)'!$G$2:$G$763,'Ham Veri (Kategorili)'!$F$2:$F$763,"Bilinirlik - Kurumsal (ÖSS-TSS)")/26</f>
        <v/>
      </c>
    </row>
    <row r="37">
      <c r="B37" s="26" t="inlineStr">
        <is>
          <t>Bilinirlik - Gebe/Doğum</t>
        </is>
      </c>
      <c r="C37" s="27">
        <f>SUMIFS('Ham Veri (Kategorili)'!$G$2:$G$763,'Ham Veri (Kategorili)'!$F$2:$F$763,"Bilinirlik - Gebe/Doğum")</f>
        <v/>
      </c>
      <c r="D37" s="36">
        <f>SUMIFS('Ham Veri (Kategorili)'!$G$2:$G$763,'Ham Veri (Kategorili)'!$F$2:$F$763,"Bilinirlik - Gebe/Doğum")/SUM('Ham Veri (Kategorili)'!$G$2:$G$763)</f>
        <v/>
      </c>
      <c r="E37" s="27">
        <f>SUMIFS('Ham Veri (Kategorili)'!$G$2:$G$763,'Ham Veri (Kategorili)'!$F$2:$F$763,"Bilinirlik - Gebe/Doğum")/30</f>
        <v/>
      </c>
      <c r="F37" s="27">
        <f>SUMIFS('Ham Veri (Kategorili)'!$G$2:$G$763,'Ham Veri (Kategorili)'!$F$2:$F$763,"Bilinirlik - Gebe/Doğum")/26</f>
        <v/>
      </c>
    </row>
    <row r="38">
      <c r="B38" s="32" t="inlineStr">
        <is>
          <t>TOPLAM</t>
        </is>
      </c>
      <c r="C38" s="33">
        <f>SUM(C35:C37)</f>
        <v/>
      </c>
      <c r="D38" s="34">
        <f>SUM(D35:D37)</f>
        <v/>
      </c>
      <c r="E38" s="33">
        <f>SUM(E35:E37)</f>
        <v/>
      </c>
      <c r="F38" s="33">
        <f>SUM(F35:F37)</f>
        <v/>
      </c>
    </row>
  </sheetData>
  <mergeCells count="6">
    <mergeCell ref="B4:F4"/>
    <mergeCell ref="B2:F2"/>
    <mergeCell ref="B33:F33"/>
    <mergeCell ref="B11:F11"/>
    <mergeCell ref="B25:F25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2" customWidth="1" min="4" max="4"/>
    <col width="46" customWidth="1" min="5" max="5"/>
    <col width="14" customWidth="1" min="6" max="6"/>
    <col width="9" customWidth="1" min="7" max="7"/>
    <col width="10" customWidth="1" min="8" max="8"/>
    <col width="13" customWidth="1" min="9" max="9"/>
    <col width="12" customWidth="1" min="10" max="10"/>
  </cols>
  <sheetData>
    <row r="1">
      <c r="A1" s="42" t="inlineStr">
        <is>
          <t>Ana Kategori</t>
        </is>
      </c>
      <c r="B1" s="42" t="inlineStr">
        <is>
          <t>Amaç</t>
        </is>
      </c>
      <c r="C1" s="42" t="inlineStr">
        <is>
          <t>Alt Kategori</t>
        </is>
      </c>
      <c r="D1" s="42" t="inlineStr">
        <is>
          <t>Sayfa</t>
        </is>
      </c>
      <c r="E1" s="42" t="inlineStr">
        <is>
          <t>Kampanya</t>
        </is>
      </c>
      <c r="F1" s="42" t="inlineStr">
        <is>
          <t>Harcama (TL)</t>
        </is>
      </c>
      <c r="G1" s="42" t="inlineStr">
        <is>
          <t>Pay %</t>
        </is>
      </c>
      <c r="H1" s="42" t="inlineStr">
        <is>
          <t>Aktif Gün</t>
        </is>
      </c>
      <c r="I1" s="42" t="inlineStr">
        <is>
          <t>Günlük Ort.</t>
        </is>
      </c>
      <c r="J1" s="42" t="inlineStr">
        <is>
          <t>Toplam Sonuç</t>
        </is>
      </c>
    </row>
    <row r="2">
      <c r="A2" s="43" t="inlineStr">
        <is>
          <t>Hastane (Kurumsal)</t>
        </is>
      </c>
      <c r="B2" s="43" t="inlineStr">
        <is>
          <t>Lead Toplama (Form)</t>
        </is>
      </c>
      <c r="C2" s="43" t="inlineStr">
        <is>
          <t>Lead - Kadın Doğum/Gebe/FTR</t>
        </is>
      </c>
      <c r="D2" s="43" t="inlineStr">
        <is>
          <t>Doruk Hastaneleri</t>
        </is>
      </c>
      <c r="E2" s="43" t="inlineStr">
        <is>
          <t>Gebe-Doğum Form Kampanyası</t>
        </is>
      </c>
      <c r="F2" s="44" t="n">
        <v>173818.84</v>
      </c>
      <c r="G2" s="45">
        <f>F2/SUM($F$2:$F$59)</f>
        <v/>
      </c>
      <c r="H2" s="46" t="n">
        <v>26</v>
      </c>
      <c r="I2" s="44">
        <f>F2/H2</f>
        <v/>
      </c>
      <c r="J2" s="46" t="n">
        <v>545</v>
      </c>
    </row>
    <row r="3">
      <c r="A3" s="47" t="inlineStr">
        <is>
          <t>Hastane (Kurumsal)</t>
        </is>
      </c>
      <c r="B3" s="47" t="inlineStr">
        <is>
          <t>Marka Bilinirliği (Erişim)</t>
        </is>
      </c>
      <c r="C3" s="47" t="inlineStr">
        <is>
          <t>Bilinirlik - Doktor Tanıtım</t>
        </is>
      </c>
      <c r="D3" s="47" t="inlineStr">
        <is>
          <t>Doruk Hastaneleri</t>
        </is>
      </c>
      <c r="E3" s="47" t="inlineStr">
        <is>
          <t>Doktor - Bilinirlik Kampanyası - Nilüfer</t>
        </is>
      </c>
      <c r="F3" s="48" t="n">
        <v>132923.79</v>
      </c>
      <c r="G3" s="49">
        <f>F3/SUM($F$2:$F$59)</f>
        <v/>
      </c>
      <c r="H3" s="50" t="n">
        <v>26</v>
      </c>
      <c r="I3" s="48">
        <f>F3/H3</f>
        <v/>
      </c>
      <c r="J3" s="50" t="n">
        <v>11264434</v>
      </c>
    </row>
    <row r="4">
      <c r="A4" s="43" t="inlineStr">
        <is>
          <t>Hastane (Kurumsal)</t>
        </is>
      </c>
      <c r="B4" s="43" t="inlineStr">
        <is>
          <t>Lead Toplama (Form)</t>
        </is>
      </c>
      <c r="C4" s="43" t="inlineStr">
        <is>
          <t>Lead - Kadın Doğum/Gebe/FTR</t>
        </is>
      </c>
      <c r="D4" s="43" t="inlineStr">
        <is>
          <t>Doruk Hastaneleri</t>
        </is>
      </c>
      <c r="E4" s="43" t="inlineStr">
        <is>
          <t>FTR Yatılı - lead</t>
        </is>
      </c>
      <c r="F4" s="44" t="n">
        <v>97495.28</v>
      </c>
      <c r="G4" s="45">
        <f>F4/SUM($F$2:$F$59)</f>
        <v/>
      </c>
      <c r="H4" s="46" t="n">
        <v>26</v>
      </c>
      <c r="I4" s="44">
        <f>F4/H4</f>
        <v/>
      </c>
      <c r="J4" s="46" t="n">
        <v>144</v>
      </c>
    </row>
    <row r="5">
      <c r="A5" s="47" t="inlineStr">
        <is>
          <t>Hastane (Kurumsal)</t>
        </is>
      </c>
      <c r="B5" s="47" t="inlineStr">
        <is>
          <t>Instagram Öne Çıkarma</t>
        </is>
      </c>
      <c r="C5" s="47" t="inlineStr">
        <is>
          <t>Öne Çıkarma - Doruk Hastaneleri</t>
        </is>
      </c>
      <c r="D5" s="47" t="inlineStr">
        <is>
          <t>Doruk Hastaneleri</t>
        </is>
      </c>
      <c r="E5" s="47" t="inlineStr">
        <is>
          <t>Instagram gönderisi: Bir sezon boyunca ortaya...</t>
        </is>
      </c>
      <c r="F5" s="48" t="n">
        <v>93455.89999999999</v>
      </c>
      <c r="G5" s="49">
        <f>F5/SUM($F$2:$F$59)</f>
        <v/>
      </c>
      <c r="H5" s="50" t="n">
        <v>26</v>
      </c>
      <c r="I5" s="48">
        <f>F5/H5</f>
        <v/>
      </c>
      <c r="J5" s="50" t="n">
        <v>19050</v>
      </c>
    </row>
    <row r="6">
      <c r="A6" s="43" t="inlineStr">
        <is>
          <t>Estetik Marka</t>
        </is>
      </c>
      <c r="B6" s="43" t="inlineStr">
        <is>
          <t>Lead Toplama (Form)</t>
        </is>
      </c>
      <c r="C6" s="43" t="inlineStr">
        <is>
          <t>Lead - Estetik/Plastik/Saç</t>
        </is>
      </c>
      <c r="D6" s="43" t="inlineStr">
        <is>
          <t>Doruk Estetik &amp; Saç Ekimi</t>
        </is>
      </c>
      <c r="E6" s="43" t="inlineStr">
        <is>
          <t>ABO / Medikal Estetik lead / 16.04.2026</t>
        </is>
      </c>
      <c r="F6" s="44" t="n">
        <v>60093.26</v>
      </c>
      <c r="G6" s="45">
        <f>F6/SUM($F$2:$F$59)</f>
        <v/>
      </c>
      <c r="H6" s="46" t="n">
        <v>26</v>
      </c>
      <c r="I6" s="44">
        <f>F6/H6</f>
        <v/>
      </c>
      <c r="J6" s="46" t="n">
        <v>518</v>
      </c>
    </row>
    <row r="7">
      <c r="A7" s="47" t="inlineStr">
        <is>
          <t>Hastane (Kurumsal)</t>
        </is>
      </c>
      <c r="B7" s="47" t="inlineStr">
        <is>
          <t>Instagram Öne Çıkarma</t>
        </is>
      </c>
      <c r="C7" s="47" t="inlineStr">
        <is>
          <t>Öne Çıkarma - Doruk Hastaneleri</t>
        </is>
      </c>
      <c r="D7" s="47" t="inlineStr">
        <is>
          <t>Doruk Hastaneleri</t>
        </is>
      </c>
      <c r="E7" s="47" t="inlineStr">
        <is>
          <t>Instagram gönderisi: Doruk Sağlık Grubu olarak,...</t>
        </is>
      </c>
      <c r="F7" s="48" t="n">
        <v>46303.32</v>
      </c>
      <c r="G7" s="49">
        <f>F7/SUM($F$2:$F$59)</f>
        <v/>
      </c>
      <c r="H7" s="50" t="n">
        <v>19</v>
      </c>
      <c r="I7" s="48">
        <f>F7/H7</f>
        <v/>
      </c>
      <c r="J7" s="50" t="n">
        <v>10830</v>
      </c>
    </row>
    <row r="8">
      <c r="A8" s="43" t="inlineStr">
        <is>
          <t>Hastane (Kurumsal)</t>
        </is>
      </c>
      <c r="B8" s="43" t="inlineStr">
        <is>
          <t>Marka Bilinirliği (Erişim)</t>
        </is>
      </c>
      <c r="C8" s="43" t="inlineStr">
        <is>
          <t>Bilinirlik - Kurumsal (ÖSS-TSS)</t>
        </is>
      </c>
      <c r="D8" s="43" t="inlineStr">
        <is>
          <t>Doruk Hastaneleri</t>
        </is>
      </c>
      <c r="E8" s="43" t="inlineStr">
        <is>
          <t>ÖSS-TSS - marka bilinirliği</t>
        </is>
      </c>
      <c r="F8" s="44" t="n">
        <v>46163.29</v>
      </c>
      <c r="G8" s="45">
        <f>F8/SUM($F$2:$F$59)</f>
        <v/>
      </c>
      <c r="H8" s="46" t="n">
        <v>26</v>
      </c>
      <c r="I8" s="44">
        <f>F8/H8</f>
        <v/>
      </c>
      <c r="J8" s="46" t="n">
        <v>3127678</v>
      </c>
    </row>
    <row r="9">
      <c r="A9" s="47" t="inlineStr">
        <is>
          <t>Hastane (Kurumsal)</t>
        </is>
      </c>
      <c r="B9" s="47" t="inlineStr">
        <is>
          <t>Lead Toplama (Form)</t>
        </is>
      </c>
      <c r="C9" s="47" t="inlineStr">
        <is>
          <t>Lead - İK/İş Başvurusu</t>
        </is>
      </c>
      <c r="D9" s="47" t="inlineStr">
        <is>
          <t>Doruk Hastaneleri</t>
        </is>
      </c>
      <c r="E9" s="47" t="inlineStr">
        <is>
          <t>Hemşire İş Başvuru - lead</t>
        </is>
      </c>
      <c r="F9" s="48" t="n">
        <v>24219.27</v>
      </c>
      <c r="G9" s="49">
        <f>F9/SUM($F$2:$F$59)</f>
        <v/>
      </c>
      <c r="H9" s="50" t="n">
        <v>26</v>
      </c>
      <c r="I9" s="48">
        <f>F9/H9</f>
        <v/>
      </c>
      <c r="J9" s="50" t="n">
        <v>65</v>
      </c>
    </row>
    <row r="10">
      <c r="A10" s="43" t="inlineStr">
        <is>
          <t>Hastane (Kurumsal)</t>
        </is>
      </c>
      <c r="B10" s="43" t="inlineStr">
        <is>
          <t>Lead Toplama (Form)</t>
        </is>
      </c>
      <c r="C10" s="43" t="inlineStr">
        <is>
          <t>Lead - İK/İş Başvurusu</t>
        </is>
      </c>
      <c r="D10" s="43" t="inlineStr">
        <is>
          <t>Doruk Hastaneleri</t>
        </is>
      </c>
      <c r="E10" s="43" t="inlineStr">
        <is>
          <t>Uzman Hekim Başvuru</t>
        </is>
      </c>
      <c r="F10" s="44" t="n">
        <v>23972.09</v>
      </c>
      <c r="G10" s="45">
        <f>F10/SUM($F$2:$F$59)</f>
        <v/>
      </c>
      <c r="H10" s="46" t="n">
        <v>26</v>
      </c>
      <c r="I10" s="44">
        <f>F10/H10</f>
        <v/>
      </c>
      <c r="J10" s="46" t="n">
        <v>118</v>
      </c>
    </row>
    <row r="11">
      <c r="A11" s="47" t="inlineStr">
        <is>
          <t>Hastane (Kurumsal)</t>
        </is>
      </c>
      <c r="B11" s="47" t="inlineStr">
        <is>
          <t>Marka Bilinirliği (Erişim)</t>
        </is>
      </c>
      <c r="C11" s="47" t="inlineStr">
        <is>
          <t>Bilinirlik - Gebe/Doğum</t>
        </is>
      </c>
      <c r="D11" s="47" t="inlineStr">
        <is>
          <t>Doruk Hastaneleri</t>
        </is>
      </c>
      <c r="E11" s="47" t="inlineStr">
        <is>
          <t>Gebe-Doğum Bilinirlik</t>
        </is>
      </c>
      <c r="F11" s="48" t="n">
        <v>23489.82</v>
      </c>
      <c r="G11" s="49">
        <f>F11/SUM($F$2:$F$59)</f>
        <v/>
      </c>
      <c r="H11" s="50" t="n">
        <v>26</v>
      </c>
      <c r="I11" s="48">
        <f>F11/H11</f>
        <v/>
      </c>
      <c r="J11" s="50" t="n">
        <v>2222938</v>
      </c>
    </row>
    <row r="12">
      <c r="A12" s="43" t="inlineStr">
        <is>
          <t>Hastane (Kurumsal)</t>
        </is>
      </c>
      <c r="B12" s="43" t="inlineStr">
        <is>
          <t>Lead Toplama (Form)</t>
        </is>
      </c>
      <c r="C12" s="43" t="inlineStr">
        <is>
          <t>Lead - Check-up/Tarama</t>
        </is>
      </c>
      <c r="D12" s="43" t="inlineStr">
        <is>
          <t>Doruk Hastaneleri</t>
        </is>
      </c>
      <c r="E12" s="43" t="inlineStr">
        <is>
          <t>Checkup - genel - lead</t>
        </is>
      </c>
      <c r="F12" s="44" t="n">
        <v>23129.44</v>
      </c>
      <c r="G12" s="45">
        <f>F12/SUM($F$2:$F$59)</f>
        <v/>
      </c>
      <c r="H12" s="46" t="n">
        <v>26</v>
      </c>
      <c r="I12" s="44">
        <f>F12/H12</f>
        <v/>
      </c>
      <c r="J12" s="46" t="n">
        <v>53</v>
      </c>
    </row>
    <row r="13">
      <c r="A13" s="47" t="inlineStr">
        <is>
          <t>Hastane (Kurumsal)</t>
        </is>
      </c>
      <c r="B13" s="47" t="inlineStr">
        <is>
          <t>Lead Toplama (Form)</t>
        </is>
      </c>
      <c r="C13" s="47" t="inlineStr">
        <is>
          <t>Lead - Estetik/Plastik/Saç</t>
        </is>
      </c>
      <c r="D13" s="47" t="inlineStr">
        <is>
          <t>Doruk Hastaneleri</t>
        </is>
      </c>
      <c r="E13" s="47" t="inlineStr">
        <is>
          <t>CBO / Saç Ekimi - lead / soğuk</t>
        </is>
      </c>
      <c r="F13" s="48" t="n">
        <v>21956.72</v>
      </c>
      <c r="G13" s="49">
        <f>F13/SUM($F$2:$F$59)</f>
        <v/>
      </c>
      <c r="H13" s="50" t="n">
        <v>26</v>
      </c>
      <c r="I13" s="48">
        <f>F13/H13</f>
        <v/>
      </c>
      <c r="J13" s="50" t="n">
        <v>35</v>
      </c>
    </row>
    <row r="14">
      <c r="A14" s="43" t="inlineStr">
        <is>
          <t>Hastane (Kurumsal)</t>
        </is>
      </c>
      <c r="B14" s="43" t="inlineStr">
        <is>
          <t>Lead Toplama (Form)</t>
        </is>
      </c>
      <c r="C14" s="43" t="inlineStr">
        <is>
          <t>Lead - Estetik/Plastik/Saç</t>
        </is>
      </c>
      <c r="D14" s="43" t="inlineStr">
        <is>
          <t>Doruk Hastaneleri</t>
        </is>
      </c>
      <c r="E14" s="43" t="inlineStr">
        <is>
          <t>ABO / Meme Estetiği / plastik cerrahi / lead</t>
        </is>
      </c>
      <c r="F14" s="44" t="n">
        <v>21624.59</v>
      </c>
      <c r="G14" s="45">
        <f>F14/SUM($F$2:$F$59)</f>
        <v/>
      </c>
      <c r="H14" s="46" t="n">
        <v>26</v>
      </c>
      <c r="I14" s="44">
        <f>F14/H14</f>
        <v/>
      </c>
      <c r="J14" s="46" t="n">
        <v>68</v>
      </c>
    </row>
    <row r="15">
      <c r="A15" s="47" t="inlineStr">
        <is>
          <t>Hastane (Kurumsal)</t>
        </is>
      </c>
      <c r="B15" s="47" t="inlineStr">
        <is>
          <t>Marka Bilinirliği (Erişim)</t>
        </is>
      </c>
      <c r="C15" s="47" t="inlineStr">
        <is>
          <t>Bilinirlik - Doktor Tanıtım</t>
        </is>
      </c>
      <c r="D15" s="47" t="inlineStr">
        <is>
          <t>Doruk Hastaneleri</t>
        </is>
      </c>
      <c r="E15" s="47" t="inlineStr">
        <is>
          <t>Doktor - Bilinirlik Kampanyası - Yıldırım</t>
        </is>
      </c>
      <c r="F15" s="48" t="n">
        <v>17984.92</v>
      </c>
      <c r="G15" s="49">
        <f>F15/SUM($F$2:$F$59)</f>
        <v/>
      </c>
      <c r="H15" s="50" t="n">
        <v>18</v>
      </c>
      <c r="I15" s="48">
        <f>F15/H15</f>
        <v/>
      </c>
      <c r="J15" s="50" t="n">
        <v>1868418</v>
      </c>
    </row>
    <row r="16">
      <c r="A16" s="43" t="inlineStr">
        <is>
          <t>Hastane (Kurumsal)</t>
        </is>
      </c>
      <c r="B16" s="43" t="inlineStr">
        <is>
          <t>Lead Toplama (Form)</t>
        </is>
      </c>
      <c r="C16" s="43" t="inlineStr">
        <is>
          <t>Lead - Estetik/Plastik/Saç</t>
        </is>
      </c>
      <c r="D16" s="43" t="inlineStr">
        <is>
          <t>Doruk Hastaneleri</t>
        </is>
      </c>
      <c r="E16" s="43" t="inlineStr">
        <is>
          <t>ABO / Rinoplasti / plastik cerrahi / lead</t>
        </is>
      </c>
      <c r="F16" s="44" t="n">
        <v>17457.41</v>
      </c>
      <c r="G16" s="45">
        <f>F16/SUM($F$2:$F$59)</f>
        <v/>
      </c>
      <c r="H16" s="46" t="n">
        <v>26</v>
      </c>
      <c r="I16" s="44">
        <f>F16/H16</f>
        <v/>
      </c>
      <c r="J16" s="46" t="n">
        <v>20</v>
      </c>
    </row>
    <row r="17">
      <c r="A17" s="47" t="inlineStr">
        <is>
          <t>Hastane (Kurumsal)</t>
        </is>
      </c>
      <c r="B17" s="47" t="inlineStr">
        <is>
          <t>Lead Toplama (Form)</t>
        </is>
      </c>
      <c r="C17" s="47" t="inlineStr">
        <is>
          <t>Lead - Check-up/Tarama</t>
        </is>
      </c>
      <c r="D17" s="47" t="inlineStr">
        <is>
          <t>Doruk Hastaneleri</t>
        </is>
      </c>
      <c r="E17" s="47" t="inlineStr">
        <is>
          <t>Prostat Checkup - lead</t>
        </is>
      </c>
      <c r="F17" s="48" t="n">
        <v>12585.58</v>
      </c>
      <c r="G17" s="49">
        <f>F17/SUM($F$2:$F$59)</f>
        <v/>
      </c>
      <c r="H17" s="50" t="n">
        <v>26</v>
      </c>
      <c r="I17" s="48">
        <f>F17/H17</f>
        <v/>
      </c>
      <c r="J17" s="50" t="n">
        <v>81</v>
      </c>
    </row>
    <row r="18">
      <c r="A18" s="43" t="inlineStr">
        <is>
          <t>Doktor Sayfaları</t>
        </is>
      </c>
      <c r="B18" s="43" t="inlineStr">
        <is>
          <t>Instagram Öne Çıkarma</t>
        </is>
      </c>
      <c r="C18" s="43" t="inlineStr">
        <is>
          <t>Öne Çıkarma - Doktor</t>
        </is>
      </c>
      <c r="D18" s="43" t="inlineStr">
        <is>
          <t>Op. Dr. Emre Çaycı</t>
        </is>
      </c>
      <c r="E18" s="43" t="inlineStr">
        <is>
          <t>Instagram gönderisi: 👨‍⚕️ Jinekomasti Ameliyatı...</t>
        </is>
      </c>
      <c r="F18" s="44" t="n">
        <v>11565.46</v>
      </c>
      <c r="G18" s="45">
        <f>F18/SUM($F$2:$F$59)</f>
        <v/>
      </c>
      <c r="H18" s="46" t="n">
        <v>14</v>
      </c>
      <c r="I18" s="44">
        <f>F18/H18</f>
        <v/>
      </c>
      <c r="J18" s="46" t="n">
        <v>10920</v>
      </c>
    </row>
    <row r="19">
      <c r="A19" s="47" t="inlineStr">
        <is>
          <t>Estetik Marka</t>
        </is>
      </c>
      <c r="B19" s="47" t="inlineStr">
        <is>
          <t>Instagram Öne Çıkarma</t>
        </is>
      </c>
      <c r="C19" s="47" t="inlineStr">
        <is>
          <t>Öne Çıkarma - Doruk Estetik</t>
        </is>
      </c>
      <c r="D19" s="47" t="inlineStr">
        <is>
          <t>Doruk Estetik &amp; Saç Ekimi</t>
        </is>
      </c>
      <c r="E19" s="47" t="inlineStr">
        <is>
          <t>Instagram gönderisi: Medikal estetik alanındaki...</t>
        </is>
      </c>
      <c r="F19" s="48" t="n">
        <v>11489.83</v>
      </c>
      <c r="G19" s="49">
        <f>F19/SUM($F$2:$F$59)</f>
        <v/>
      </c>
      <c r="H19" s="50" t="n">
        <v>26</v>
      </c>
      <c r="I19" s="48">
        <f>F19/H19</f>
        <v/>
      </c>
      <c r="J19" s="50" t="n">
        <v>2694</v>
      </c>
    </row>
    <row r="20">
      <c r="A20" s="43" t="inlineStr">
        <is>
          <t>Hastane (Kurumsal)</t>
        </is>
      </c>
      <c r="B20" s="43" t="inlineStr">
        <is>
          <t>Instagram Öne Çıkarma</t>
        </is>
      </c>
      <c r="C20" s="43" t="inlineStr">
        <is>
          <t>Öne Çıkarma - Doruk Hastaneleri</t>
        </is>
      </c>
      <c r="D20" s="43" t="inlineStr">
        <is>
          <t>Doruk Hastaneleri</t>
        </is>
      </c>
      <c r="E20" s="43" t="inlineStr">
        <is>
          <t>Instagram gönderisi: Doruk Bülten’in yeni sayısı...</t>
        </is>
      </c>
      <c r="F20" s="44" t="n">
        <v>10963.05</v>
      </c>
      <c r="G20" s="45">
        <f>F20/SUM($F$2:$F$59)</f>
        <v/>
      </c>
      <c r="H20" s="46" t="n">
        <v>8</v>
      </c>
      <c r="I20" s="44">
        <f>F20/H20</f>
        <v/>
      </c>
      <c r="J20" s="46" t="n">
        <v>2310</v>
      </c>
    </row>
    <row r="21">
      <c r="A21" s="47" t="inlineStr">
        <is>
          <t>Hastane (Kurumsal)</t>
        </is>
      </c>
      <c r="B21" s="47" t="inlineStr">
        <is>
          <t>Lead Toplama (Form)</t>
        </is>
      </c>
      <c r="C21" s="47" t="inlineStr">
        <is>
          <t>Lead - Check-up/Tarama</t>
        </is>
      </c>
      <c r="D21" s="47" t="inlineStr">
        <is>
          <t>Doruk Hastaneleri</t>
        </is>
      </c>
      <c r="E21" s="47" t="inlineStr">
        <is>
          <t>Baş Dönmesi ve Denge Ünitesi / lead</t>
        </is>
      </c>
      <c r="F21" s="48" t="n">
        <v>8676.18</v>
      </c>
      <c r="G21" s="49">
        <f>F21/SUM($F$2:$F$59)</f>
        <v/>
      </c>
      <c r="H21" s="50" t="n">
        <v>26</v>
      </c>
      <c r="I21" s="48">
        <f>F21/H21</f>
        <v/>
      </c>
      <c r="J21" s="50" t="n">
        <v>70</v>
      </c>
    </row>
    <row r="22">
      <c r="A22" s="43" t="inlineStr">
        <is>
          <t>Doktor Sayfaları</t>
        </is>
      </c>
      <c r="B22" s="43" t="inlineStr">
        <is>
          <t>Instagram Öne Çıkarma</t>
        </is>
      </c>
      <c r="C22" s="43" t="inlineStr">
        <is>
          <t>Öne Çıkarma - Doktor</t>
        </is>
      </c>
      <c r="D22" s="43" t="inlineStr">
        <is>
          <t>Op.Dr. Eren Kaya</t>
        </is>
      </c>
      <c r="E22" s="43" t="inlineStr">
        <is>
          <t>Instagram gönderisi: ✅Gebelikte uyku pozisyonu...</t>
        </is>
      </c>
      <c r="F22" s="44" t="n">
        <v>7067.94</v>
      </c>
      <c r="G22" s="45">
        <f>F22/SUM($F$2:$F$59)</f>
        <v/>
      </c>
      <c r="H22" s="46" t="n">
        <v>9</v>
      </c>
      <c r="I22" s="44">
        <f>F22/H22</f>
        <v/>
      </c>
      <c r="J22" s="46" t="n">
        <v>6250</v>
      </c>
    </row>
    <row r="23">
      <c r="A23" s="47" t="inlineStr">
        <is>
          <t>Hastane (Kurumsal)</t>
        </is>
      </c>
      <c r="B23" s="47" t="inlineStr">
        <is>
          <t>Instagram Öne Çıkarma</t>
        </is>
      </c>
      <c r="C23" s="47" t="inlineStr">
        <is>
          <t>Öne Çıkarma - Doruk Hastaneleri</t>
        </is>
      </c>
      <c r="D23" s="47" t="inlineStr">
        <is>
          <t>Doruk Hastaneleri</t>
        </is>
      </c>
      <c r="E23" s="47" t="inlineStr">
        <is>
          <t>Instagram gönderisi: Doğum şekli, gebelik...</t>
        </is>
      </c>
      <c r="F23" s="48" t="n">
        <v>6811.3</v>
      </c>
      <c r="G23" s="49">
        <f>F23/SUM($F$2:$F$59)</f>
        <v/>
      </c>
      <c r="H23" s="50" t="n">
        <v>8</v>
      </c>
      <c r="I23" s="48">
        <f>F23/H23</f>
        <v/>
      </c>
      <c r="J23" s="50" t="n">
        <v>1879</v>
      </c>
    </row>
    <row r="24">
      <c r="A24" s="43" t="inlineStr">
        <is>
          <t>Hastane (Kurumsal)</t>
        </is>
      </c>
      <c r="B24" s="43" t="inlineStr">
        <is>
          <t>Instagram Öne Çıkarma</t>
        </is>
      </c>
      <c r="C24" s="43" t="inlineStr">
        <is>
          <t>Öne Çıkarma - Doruk Hastaneleri</t>
        </is>
      </c>
      <c r="D24" s="43" t="inlineStr">
        <is>
          <t>Doruk Hastaneleri</t>
        </is>
      </c>
      <c r="E24" s="43" t="inlineStr">
        <is>
          <t>Instagram gönderisi: Meme kanseri, kadınlarda en...</t>
        </is>
      </c>
      <c r="F24" s="44" t="n">
        <v>6787.59</v>
      </c>
      <c r="G24" s="45">
        <f>F24/SUM($F$2:$F$59)</f>
        <v/>
      </c>
      <c r="H24" s="46" t="n">
        <v>8</v>
      </c>
      <c r="I24" s="44">
        <f>F24/H24</f>
        <v/>
      </c>
      <c r="J24" s="46" t="n">
        <v>1101</v>
      </c>
    </row>
    <row r="25">
      <c r="A25" s="47" t="inlineStr">
        <is>
          <t>Hastane (Kurumsal)</t>
        </is>
      </c>
      <c r="B25" s="47" t="inlineStr">
        <is>
          <t>Lead Toplama (Form)</t>
        </is>
      </c>
      <c r="C25" s="47" t="inlineStr">
        <is>
          <t>Lead - Estetik/Plastik/Saç</t>
        </is>
      </c>
      <c r="D25" s="47" t="inlineStr">
        <is>
          <t>Doruk Hastaneleri</t>
        </is>
      </c>
      <c r="E25" s="47" t="inlineStr">
        <is>
          <t>ABO / Vücut Şekillendirme / plastik cerrahi / lead</t>
        </is>
      </c>
      <c r="F25" s="48" t="n">
        <v>6766.13</v>
      </c>
      <c r="G25" s="49">
        <f>F25/SUM($F$2:$F$59)</f>
        <v/>
      </c>
      <c r="H25" s="50" t="n">
        <v>26</v>
      </c>
      <c r="I25" s="48">
        <f>F25/H25</f>
        <v/>
      </c>
      <c r="J25" s="50" t="n">
        <v>37</v>
      </c>
    </row>
    <row r="26">
      <c r="A26" s="43" t="inlineStr">
        <is>
          <t>Doktor Sayfaları</t>
        </is>
      </c>
      <c r="B26" s="43" t="inlineStr">
        <is>
          <t>Instagram Öne Çıkarma</t>
        </is>
      </c>
      <c r="C26" s="43" t="inlineStr">
        <is>
          <t>Öne Çıkarma - Doktor</t>
        </is>
      </c>
      <c r="D26" s="43" t="inlineStr">
        <is>
          <t>Doç.Dr. Selin Aktürk Esen</t>
        </is>
      </c>
      <c r="E26" s="43" t="inlineStr">
        <is>
          <t>Instagram gönderisi: 🧬 Kanser Hastalarında Test...</t>
        </is>
      </c>
      <c r="F26" s="44" t="n">
        <v>6696.46</v>
      </c>
      <c r="G26" s="45">
        <f>F26/SUM($F$2:$F$59)</f>
        <v/>
      </c>
      <c r="H26" s="46" t="n">
        <v>8</v>
      </c>
      <c r="I26" s="44">
        <f>F26/H26</f>
        <v/>
      </c>
      <c r="J26" s="46" t="n">
        <v>1953</v>
      </c>
    </row>
    <row r="27">
      <c r="A27" s="47" t="inlineStr">
        <is>
          <t>Doktor Sayfaları</t>
        </is>
      </c>
      <c r="B27" s="47" t="inlineStr">
        <is>
          <t>Instagram Öne Çıkarma</t>
        </is>
      </c>
      <c r="C27" s="47" t="inlineStr">
        <is>
          <t>Öne Çıkarma - Doktor</t>
        </is>
      </c>
      <c r="D27" s="47" t="inlineStr">
        <is>
          <t>Op.Dr. Abdullah ERTAŞ</t>
        </is>
      </c>
      <c r="E27" s="47" t="inlineStr">
        <is>
          <t>Instagram gönderisi: 🦴 Kuyruk Sokumu Ağrısı Neden...</t>
        </is>
      </c>
      <c r="F27" s="48" t="n">
        <v>6693.05</v>
      </c>
      <c r="G27" s="49">
        <f>F27/SUM($F$2:$F$59)</f>
        <v/>
      </c>
      <c r="H27" s="50" t="n">
        <v>8</v>
      </c>
      <c r="I27" s="48">
        <f>F27/H27</f>
        <v/>
      </c>
      <c r="J27" s="50" t="n">
        <v>1824</v>
      </c>
    </row>
    <row r="28">
      <c r="A28" s="43" t="inlineStr">
        <is>
          <t>Doktor Sayfaları</t>
        </is>
      </c>
      <c r="B28" s="43" t="inlineStr">
        <is>
          <t>Instagram Öne Çıkarma</t>
        </is>
      </c>
      <c r="C28" s="43" t="inlineStr">
        <is>
          <t>Öne Çıkarma - Doktor</t>
        </is>
      </c>
      <c r="D28" s="43" t="inlineStr">
        <is>
          <t>Op.Dr. Abdullah ERTAŞ</t>
        </is>
      </c>
      <c r="E28" s="43" t="inlineStr">
        <is>
          <t>Instagram gönderisi: 🧠 MR Raporunda Her Yazan...</t>
        </is>
      </c>
      <c r="F28" s="44" t="n">
        <v>6681.81</v>
      </c>
      <c r="G28" s="45">
        <f>F28/SUM($F$2:$F$59)</f>
        <v/>
      </c>
      <c r="H28" s="46" t="n">
        <v>8</v>
      </c>
      <c r="I28" s="44">
        <f>F28/H28</f>
        <v/>
      </c>
      <c r="J28" s="46" t="n">
        <v>2083</v>
      </c>
    </row>
    <row r="29">
      <c r="A29" s="47" t="inlineStr">
        <is>
          <t>Hastane (Kurumsal)</t>
        </is>
      </c>
      <c r="B29" s="47" t="inlineStr">
        <is>
          <t>Lead Toplama (Form)</t>
        </is>
      </c>
      <c r="C29" s="47" t="inlineStr">
        <is>
          <t>Lead - Estetik/Plastik/Saç</t>
        </is>
      </c>
      <c r="D29" s="47" t="inlineStr">
        <is>
          <t>Doruk Hastaneleri</t>
        </is>
      </c>
      <c r="E29" s="47" t="inlineStr">
        <is>
          <t>ABO / Göz Kapağı Estetiği / plastik cerrahi / lead</t>
        </is>
      </c>
      <c r="F29" s="48" t="n">
        <v>6584.95</v>
      </c>
      <c r="G29" s="49">
        <f>F29/SUM($F$2:$F$59)</f>
        <v/>
      </c>
      <c r="H29" s="50" t="n">
        <v>26</v>
      </c>
      <c r="I29" s="48">
        <f>F29/H29</f>
        <v/>
      </c>
      <c r="J29" s="50" t="n">
        <v>21</v>
      </c>
    </row>
    <row r="30">
      <c r="A30" s="43" t="inlineStr">
        <is>
          <t>Hastane (Kurumsal)</t>
        </is>
      </c>
      <c r="B30" s="43" t="inlineStr">
        <is>
          <t>Lead Toplama (Form)</t>
        </is>
      </c>
      <c r="C30" s="43" t="inlineStr">
        <is>
          <t>Lead - Estetik/Plastik/Saç</t>
        </is>
      </c>
      <c r="D30" s="43" t="inlineStr">
        <is>
          <t>Doruk Hastaneleri</t>
        </is>
      </c>
      <c r="E30" s="43" t="inlineStr">
        <is>
          <t>ABO / Yüz Germe (Facelift) / plastik cerrahi / lead</t>
        </is>
      </c>
      <c r="F30" s="44" t="n">
        <v>6554.56</v>
      </c>
      <c r="G30" s="45">
        <f>F30/SUM($F$2:$F$59)</f>
        <v/>
      </c>
      <c r="H30" s="46" t="n">
        <v>26</v>
      </c>
      <c r="I30" s="44">
        <f>F30/H30</f>
        <v/>
      </c>
      <c r="J30" s="46" t="n">
        <v>15</v>
      </c>
    </row>
    <row r="31">
      <c r="A31" s="47" t="inlineStr">
        <is>
          <t>Hastane (Kurumsal)</t>
        </is>
      </c>
      <c r="B31" s="47" t="inlineStr">
        <is>
          <t>Lead Toplama (Form)</t>
        </is>
      </c>
      <c r="C31" s="47" t="inlineStr">
        <is>
          <t>Lead - Estetik/Plastik/Saç</t>
        </is>
      </c>
      <c r="D31" s="47" t="inlineStr">
        <is>
          <t>Doruk Hastaneleri</t>
        </is>
      </c>
      <c r="E31" s="47" t="inlineStr">
        <is>
          <t>ABO /Kepçe Kulak / plastik cerrahi / lead</t>
        </is>
      </c>
      <c r="F31" s="48" t="n">
        <v>6470.12</v>
      </c>
      <c r="G31" s="49">
        <f>F31/SUM($F$2:$F$59)</f>
        <v/>
      </c>
      <c r="H31" s="50" t="n">
        <v>26</v>
      </c>
      <c r="I31" s="48">
        <f>F31/H31</f>
        <v/>
      </c>
      <c r="J31" s="50" t="n">
        <v>19</v>
      </c>
    </row>
    <row r="32">
      <c r="A32" s="43" t="inlineStr">
        <is>
          <t>Hastane (Kurumsal)</t>
        </is>
      </c>
      <c r="B32" s="43" t="inlineStr">
        <is>
          <t>Lead Toplama (Form)</t>
        </is>
      </c>
      <c r="C32" s="43" t="inlineStr">
        <is>
          <t>Lead - Estetik/Plastik/Saç</t>
        </is>
      </c>
      <c r="D32" s="43" t="inlineStr">
        <is>
          <t>Doruk Hastaneleri</t>
        </is>
      </c>
      <c r="E32" s="43" t="inlineStr">
        <is>
          <t>ABO /Jinekomasti / plastik cerrahi / lead</t>
        </is>
      </c>
      <c r="F32" s="44" t="n">
        <v>6426.72</v>
      </c>
      <c r="G32" s="45">
        <f>F32/SUM($F$2:$F$59)</f>
        <v/>
      </c>
      <c r="H32" s="46" t="n">
        <v>26</v>
      </c>
      <c r="I32" s="44">
        <f>F32/H32</f>
        <v/>
      </c>
      <c r="J32" s="46" t="n">
        <v>18</v>
      </c>
    </row>
    <row r="33">
      <c r="A33" s="47" t="inlineStr">
        <is>
          <t>Estetik Marka</t>
        </is>
      </c>
      <c r="B33" s="47" t="inlineStr">
        <is>
          <t>Instagram Öne Çıkarma</t>
        </is>
      </c>
      <c r="C33" s="47" t="inlineStr">
        <is>
          <t>Öne Çıkarma - Doruk Estetik</t>
        </is>
      </c>
      <c r="D33" s="47" t="inlineStr">
        <is>
          <t>Doruk Estetik &amp; Saç Ekimi</t>
        </is>
      </c>
      <c r="E33" s="47" t="inlineStr">
        <is>
          <t>Instagram gönderisi: Jinekomasti her zaman...</t>
        </is>
      </c>
      <c r="F33" s="48" t="n">
        <v>5769.81</v>
      </c>
      <c r="G33" s="49">
        <f>F33/SUM($F$2:$F$59)</f>
        <v/>
      </c>
      <c r="H33" s="50" t="n">
        <v>14</v>
      </c>
      <c r="I33" s="48">
        <f>F33/H33</f>
        <v/>
      </c>
      <c r="J33" s="50" t="n">
        <v>899</v>
      </c>
    </row>
    <row r="34">
      <c r="A34" s="43" t="inlineStr">
        <is>
          <t>Estetik Marka</t>
        </is>
      </c>
      <c r="B34" s="43" t="inlineStr">
        <is>
          <t>Instagram Öne Çıkarma</t>
        </is>
      </c>
      <c r="C34" s="43" t="inlineStr">
        <is>
          <t>Öne Çıkarma - Doruk Estetik</t>
        </is>
      </c>
      <c r="D34" s="43" t="inlineStr">
        <is>
          <t>Doruk Estetik &amp; Saç Ekimi</t>
        </is>
      </c>
      <c r="E34" s="43" t="inlineStr">
        <is>
          <t>Instagram gönderisi: Yüz bölgesine yapılan...</t>
        </is>
      </c>
      <c r="F34" s="44" t="n">
        <v>5737.22</v>
      </c>
      <c r="G34" s="45">
        <f>F34/SUM($F$2:$F$59)</f>
        <v/>
      </c>
      <c r="H34" s="46" t="n">
        <v>14</v>
      </c>
      <c r="I34" s="44">
        <f>F34/H34</f>
        <v/>
      </c>
      <c r="J34" s="46" t="n">
        <v>1136</v>
      </c>
    </row>
    <row r="35">
      <c r="A35" s="47" t="inlineStr">
        <is>
          <t>Estetik Marka</t>
        </is>
      </c>
      <c r="B35" s="47" t="inlineStr">
        <is>
          <t>Instagram Öne Çıkarma</t>
        </is>
      </c>
      <c r="C35" s="47" t="inlineStr">
        <is>
          <t>Öne Çıkarma - Doruk Estetik</t>
        </is>
      </c>
      <c r="D35" s="47" t="inlineStr">
        <is>
          <t>Doruk Estetik &amp; Saç Ekimi</t>
        </is>
      </c>
      <c r="E35" s="47" t="inlineStr">
        <is>
          <t>Instagram gönderisi: Kilo verirken yüzünüzde...</t>
        </is>
      </c>
      <c r="F35" s="48" t="n">
        <v>5712.92</v>
      </c>
      <c r="G35" s="49">
        <f>F35/SUM($F$2:$F$59)</f>
        <v/>
      </c>
      <c r="H35" s="50" t="n">
        <v>14</v>
      </c>
      <c r="I35" s="48">
        <f>F35/H35</f>
        <v/>
      </c>
      <c r="J35" s="50" t="n">
        <v>931</v>
      </c>
    </row>
    <row r="36">
      <c r="A36" s="43" t="inlineStr">
        <is>
          <t>Estetik Marka</t>
        </is>
      </c>
      <c r="B36" s="43" t="inlineStr">
        <is>
          <t>Instagram Öne Çıkarma</t>
        </is>
      </c>
      <c r="C36" s="43" t="inlineStr">
        <is>
          <t>Öne Çıkarma - Doruk Estetik</t>
        </is>
      </c>
      <c r="D36" s="43" t="inlineStr">
        <is>
          <t>Doruk Estetik &amp; Saç Ekimi</t>
        </is>
      </c>
      <c r="E36" s="43" t="inlineStr">
        <is>
          <t>Instagram gönderisi: Kulak görünümünüz nedeniyle...</t>
        </is>
      </c>
      <c r="F36" s="44" t="n">
        <v>5700.98</v>
      </c>
      <c r="G36" s="45">
        <f>F36/SUM($F$2:$F$59)</f>
        <v/>
      </c>
      <c r="H36" s="46" t="n">
        <v>14</v>
      </c>
      <c r="I36" s="44">
        <f>F36/H36</f>
        <v/>
      </c>
      <c r="J36" s="46" t="n">
        <v>1004</v>
      </c>
    </row>
    <row r="37">
      <c r="A37" s="47" t="inlineStr">
        <is>
          <t>Hastane (Kurumsal)</t>
        </is>
      </c>
      <c r="B37" s="47" t="inlineStr">
        <is>
          <t>Instagram Öne Çıkarma</t>
        </is>
      </c>
      <c r="C37" s="47" t="inlineStr">
        <is>
          <t>Öne Çıkarma - Doruk Hastaneleri</t>
        </is>
      </c>
      <c r="D37" s="47" t="inlineStr">
        <is>
          <t>Doruk Hastaneleri</t>
        </is>
      </c>
      <c r="E37" s="47" t="inlineStr">
        <is>
          <t>Instagram gönderisi: Böbrek taşı tedavisinde...</t>
        </is>
      </c>
      <c r="F37" s="48" t="n">
        <v>4287.22</v>
      </c>
      <c r="G37" s="49">
        <f>F37/SUM($F$2:$F$59)</f>
        <v/>
      </c>
      <c r="H37" s="50" t="n">
        <v>6</v>
      </c>
      <c r="I37" s="48">
        <f>F37/H37</f>
        <v/>
      </c>
      <c r="J37" s="50" t="n">
        <v>649</v>
      </c>
    </row>
    <row r="38">
      <c r="A38" s="43" t="inlineStr">
        <is>
          <t>Hastane (Kurumsal)</t>
        </is>
      </c>
      <c r="B38" s="43" t="inlineStr">
        <is>
          <t>Instagram Öne Çıkarma</t>
        </is>
      </c>
      <c r="C38" s="43" t="inlineStr">
        <is>
          <t>Öne Çıkarma - Doruk Hastaneleri</t>
        </is>
      </c>
      <c r="D38" s="43" t="inlineStr">
        <is>
          <t>Doruk Hastaneleri</t>
        </is>
      </c>
      <c r="E38" s="43" t="inlineStr">
        <is>
          <t>Instagram gönderisi: Fetal gelişim kısıtlılığı,...</t>
        </is>
      </c>
      <c r="F38" s="44" t="n">
        <v>3062.95</v>
      </c>
      <c r="G38" s="45">
        <f>F38/SUM($F$2:$F$59)</f>
        <v/>
      </c>
      <c r="H38" s="46" t="n">
        <v>3</v>
      </c>
      <c r="I38" s="44">
        <f>F38/H38</f>
        <v/>
      </c>
      <c r="J38" s="46" t="n">
        <v>401</v>
      </c>
    </row>
    <row r="39">
      <c r="A39" s="47" t="inlineStr">
        <is>
          <t>Hastane (Kurumsal)</t>
        </is>
      </c>
      <c r="B39" s="47" t="inlineStr">
        <is>
          <t>Instagram Öne Çıkarma</t>
        </is>
      </c>
      <c r="C39" s="47" t="inlineStr">
        <is>
          <t>Öne Çıkarma - Doruk Hastaneleri</t>
        </is>
      </c>
      <c r="D39" s="47" t="inlineStr">
        <is>
          <t>Doruk Hastaneleri</t>
        </is>
      </c>
      <c r="E39" s="47" t="inlineStr">
        <is>
          <t>Instagram gönderisi: Prostat cerrahisinde gelişen...</t>
        </is>
      </c>
      <c r="F39" s="48" t="n">
        <v>3035.51</v>
      </c>
      <c r="G39" s="49">
        <f>F39/SUM($F$2:$F$59)</f>
        <v/>
      </c>
      <c r="H39" s="50" t="n">
        <v>3</v>
      </c>
      <c r="I39" s="48">
        <f>F39/H39</f>
        <v/>
      </c>
      <c r="J39" s="50" t="n">
        <v>438</v>
      </c>
    </row>
    <row r="40">
      <c r="A40" s="43" t="inlineStr">
        <is>
          <t>Doktor Sayfaları</t>
        </is>
      </c>
      <c r="B40" s="43" t="inlineStr">
        <is>
          <t>Instagram Öne Çıkarma</t>
        </is>
      </c>
      <c r="C40" s="43" t="inlineStr">
        <is>
          <t>Öne Çıkarma - Doktor</t>
        </is>
      </c>
      <c r="D40" s="43" t="inlineStr">
        <is>
          <t>Op.Dr. Eren Kaya</t>
        </is>
      </c>
      <c r="E40" s="43" t="inlineStr">
        <is>
          <t>Instagram gönderisi: “Rahim alınacaksa...</t>
        </is>
      </c>
      <c r="F40" s="44" t="n">
        <v>3021.6</v>
      </c>
      <c r="G40" s="45">
        <f>F40/SUM($F$2:$F$59)</f>
        <v/>
      </c>
      <c r="H40" s="46" t="n">
        <v>3</v>
      </c>
      <c r="I40" s="44">
        <f>F40/H40</f>
        <v/>
      </c>
      <c r="J40" s="46" t="n">
        <v>925</v>
      </c>
    </row>
    <row r="41">
      <c r="A41" s="47" t="inlineStr">
        <is>
          <t>Doktor Sayfaları</t>
        </is>
      </c>
      <c r="B41" s="47" t="inlineStr">
        <is>
          <t>Instagram Öne Çıkarma</t>
        </is>
      </c>
      <c r="C41" s="47" t="inlineStr">
        <is>
          <t>Öne Çıkarma - Doktor</t>
        </is>
      </c>
      <c r="D41" s="47" t="inlineStr">
        <is>
          <t>Op.Dr. Abdullah ERTAŞ</t>
        </is>
      </c>
      <c r="E41" s="47" t="inlineStr">
        <is>
          <t>Instagram gönderisi: 🦴 Omurga Kanal Darlığı...</t>
        </is>
      </c>
      <c r="F41" s="48" t="n">
        <v>2997.67</v>
      </c>
      <c r="G41" s="49">
        <f>F41/SUM($F$2:$F$59)</f>
        <v/>
      </c>
      <c r="H41" s="50" t="n">
        <v>3</v>
      </c>
      <c r="I41" s="48">
        <f>F41/H41</f>
        <v/>
      </c>
      <c r="J41" s="50" t="n">
        <v>796</v>
      </c>
    </row>
    <row r="42">
      <c r="A42" s="43" t="inlineStr">
        <is>
          <t>Doktor Sayfaları</t>
        </is>
      </c>
      <c r="B42" s="43" t="inlineStr">
        <is>
          <t>Instagram Öne Çıkarma</t>
        </is>
      </c>
      <c r="C42" s="43" t="inlineStr">
        <is>
          <t>Öne Çıkarma - Doktor</t>
        </is>
      </c>
      <c r="D42" s="43" t="inlineStr">
        <is>
          <t>Op. Dr. Emre Çaycı</t>
        </is>
      </c>
      <c r="E42" s="43" t="inlineStr">
        <is>
          <t>Instagram gönderisi: 💪 Yağlanma mı, Jinekomasti...</t>
        </is>
      </c>
      <c r="F42" s="44" t="n">
        <v>2992.96</v>
      </c>
      <c r="G42" s="45">
        <f>F42/SUM($F$2:$F$59)</f>
        <v/>
      </c>
      <c r="H42" s="46" t="n">
        <v>3</v>
      </c>
      <c r="I42" s="44">
        <f>F42/H42</f>
        <v/>
      </c>
      <c r="J42" s="46" t="n">
        <v>731</v>
      </c>
    </row>
    <row r="43">
      <c r="A43" s="47" t="inlineStr">
        <is>
          <t>Doktor Sayfaları</t>
        </is>
      </c>
      <c r="B43" s="47" t="inlineStr">
        <is>
          <t>Instagram Öne Çıkarma</t>
        </is>
      </c>
      <c r="C43" s="47" t="inlineStr">
        <is>
          <t>Öne Çıkarma - Doktor</t>
        </is>
      </c>
      <c r="D43" s="47" t="inlineStr">
        <is>
          <t>Op. Dr. Emre Çaycı</t>
        </is>
      </c>
      <c r="E43" s="47" t="inlineStr">
        <is>
          <t>Instagram gönderisi: 💪 Jinekomastide Spor Yeterli...</t>
        </is>
      </c>
      <c r="F43" s="48" t="n">
        <v>2967.83</v>
      </c>
      <c r="G43" s="49">
        <f>F43/SUM($F$2:$F$59)</f>
        <v/>
      </c>
      <c r="H43" s="50" t="n">
        <v>3</v>
      </c>
      <c r="I43" s="48">
        <f>F43/H43</f>
        <v/>
      </c>
      <c r="J43" s="50" t="n">
        <v>522</v>
      </c>
    </row>
    <row r="44">
      <c r="A44" s="43" t="inlineStr">
        <is>
          <t>Doktor Sayfaları</t>
        </is>
      </c>
      <c r="B44" s="43" t="inlineStr">
        <is>
          <t>Instagram Öne Çıkarma</t>
        </is>
      </c>
      <c r="C44" s="43" t="inlineStr">
        <is>
          <t>Öne Çıkarma - Doktor</t>
        </is>
      </c>
      <c r="D44" s="43" t="inlineStr">
        <is>
          <t>Op.Dr. Abdullah ERTAŞ</t>
        </is>
      </c>
      <c r="E44" s="43" t="inlineStr">
        <is>
          <t>Instagram gönderisi: 🧠 Baş Ağrısı İlk Belirti...</t>
        </is>
      </c>
      <c r="F44" s="44" t="n">
        <v>2914.01</v>
      </c>
      <c r="G44" s="45">
        <f>F44/SUM($F$2:$F$59)</f>
        <v/>
      </c>
      <c r="H44" s="46" t="n">
        <v>3</v>
      </c>
      <c r="I44" s="44">
        <f>F44/H44</f>
        <v/>
      </c>
      <c r="J44" s="46" t="n">
        <v>561</v>
      </c>
    </row>
    <row r="45">
      <c r="A45" s="47" t="inlineStr">
        <is>
          <t>Doktor Sayfaları</t>
        </is>
      </c>
      <c r="B45" s="47" t="inlineStr">
        <is>
          <t>Instagram Öne Çıkarma</t>
        </is>
      </c>
      <c r="C45" s="47" t="inlineStr">
        <is>
          <t>Öne Çıkarma - Doktor</t>
        </is>
      </c>
      <c r="D45" s="47" t="inlineStr">
        <is>
          <t>Op.Dr. Eren Kaya</t>
        </is>
      </c>
      <c r="E45" s="47" t="inlineStr">
        <is>
          <t>Instagram gönderisi: “Erken gebelikte kanama...</t>
        </is>
      </c>
      <c r="F45" s="48" t="n">
        <v>2892.46</v>
      </c>
      <c r="G45" s="49">
        <f>F45/SUM($F$2:$F$59)</f>
        <v/>
      </c>
      <c r="H45" s="50" t="n">
        <v>3</v>
      </c>
      <c r="I45" s="48">
        <f>F45/H45</f>
        <v/>
      </c>
      <c r="J45" s="50" t="n">
        <v>827</v>
      </c>
    </row>
    <row r="46">
      <c r="A46" s="43" t="inlineStr">
        <is>
          <t>Doktor Sayfaları</t>
        </is>
      </c>
      <c r="B46" s="43" t="inlineStr">
        <is>
          <t>Instagram Öne Çıkarma</t>
        </is>
      </c>
      <c r="C46" s="43" t="inlineStr">
        <is>
          <t>Öne Çıkarma - Doktor</t>
        </is>
      </c>
      <c r="D46" s="43" t="inlineStr">
        <is>
          <t>Doç.Dr. Selin Aktürk Esen</t>
        </is>
      </c>
      <c r="E46" s="43" t="inlineStr">
        <is>
          <t>Instagram gönderisi: 🌡️ Kemoterapi Alan...</t>
        </is>
      </c>
      <c r="F46" s="44" t="n">
        <v>2871.08</v>
      </c>
      <c r="G46" s="45">
        <f>F46/SUM($F$2:$F$59)</f>
        <v/>
      </c>
      <c r="H46" s="46" t="n">
        <v>3</v>
      </c>
      <c r="I46" s="44">
        <f>F46/H46</f>
        <v/>
      </c>
      <c r="J46" s="46" t="n">
        <v>623</v>
      </c>
    </row>
    <row r="47">
      <c r="A47" s="47" t="inlineStr">
        <is>
          <t>Doktor Sayfaları</t>
        </is>
      </c>
      <c r="B47" s="47" t="inlineStr">
        <is>
          <t>Instagram Öne Çıkarma</t>
        </is>
      </c>
      <c r="C47" s="47" t="inlineStr">
        <is>
          <t>Öne Çıkarma - Doktor</t>
        </is>
      </c>
      <c r="D47" s="47" t="inlineStr">
        <is>
          <t>Op. Dr. Emre Çaycı</t>
        </is>
      </c>
      <c r="E47" s="47" t="inlineStr">
        <is>
          <t>Gönderi: "👃 Rinoplasti Ameliyatı Nedir? Yumuşak Doku Neden..."</t>
        </is>
      </c>
      <c r="F47" s="48" t="n">
        <v>468.78</v>
      </c>
      <c r="G47" s="49">
        <f>F47/SUM($F$2:$F$59)</f>
        <v/>
      </c>
      <c r="H47" s="50" t="n">
        <v>1</v>
      </c>
      <c r="I47" s="48">
        <f>F47/H47</f>
        <v/>
      </c>
      <c r="J47" s="50" t="n">
        <v>353</v>
      </c>
    </row>
    <row r="48">
      <c r="A48" s="43" t="inlineStr">
        <is>
          <t>Doktor Sayfaları</t>
        </is>
      </c>
      <c r="B48" s="43" t="inlineStr">
        <is>
          <t>Instagram Öne Çıkarma</t>
        </is>
      </c>
      <c r="C48" s="43" t="inlineStr">
        <is>
          <t>Öne Çıkarma - Doktor</t>
        </is>
      </c>
      <c r="D48" s="43" t="inlineStr">
        <is>
          <t>Op. Dr. Emre Çaycı</t>
        </is>
      </c>
      <c r="E48" s="43" t="inlineStr">
        <is>
          <t>Instagram gönderisi: 👃 Rinoplasti Ameliyatı...</t>
        </is>
      </c>
      <c r="F48" s="44" t="n">
        <v>426.68</v>
      </c>
      <c r="G48" s="45">
        <f>F48/SUM($F$2:$F$59)</f>
        <v/>
      </c>
      <c r="H48" s="46" t="n">
        <v>1</v>
      </c>
      <c r="I48" s="44">
        <f>F48/H48</f>
        <v/>
      </c>
      <c r="J48" s="46" t="n">
        <v>301</v>
      </c>
    </row>
    <row r="49">
      <c r="A49" s="47" t="inlineStr">
        <is>
          <t>Hastane (Kurumsal)</t>
        </is>
      </c>
      <c r="B49" s="47" t="inlineStr">
        <is>
          <t>Instagram Öne Çıkarma</t>
        </is>
      </c>
      <c r="C49" s="47" t="inlineStr">
        <is>
          <t>Öne Çıkarma - Doruk Hastaneleri</t>
        </is>
      </c>
      <c r="D49" s="47" t="inlineStr">
        <is>
          <t>Doruk Hastaneleri</t>
        </is>
      </c>
      <c r="E49" s="47" t="inlineStr">
        <is>
          <t>Instagram gönderisi: İlişki sonrasında idrar...</t>
        </is>
      </c>
      <c r="F49" s="48" t="n">
        <v>424.39</v>
      </c>
      <c r="G49" s="49">
        <f>F49/SUM($F$2:$F$59)</f>
        <v/>
      </c>
      <c r="H49" s="50" t="n">
        <v>1</v>
      </c>
      <c r="I49" s="48">
        <f>F49/H49</f>
        <v/>
      </c>
      <c r="J49" s="50" t="n">
        <v>81</v>
      </c>
    </row>
    <row r="50">
      <c r="A50" s="43" t="inlineStr">
        <is>
          <t>Doktor Sayfaları</t>
        </is>
      </c>
      <c r="B50" s="43" t="inlineStr">
        <is>
          <t>Instagram Öne Çıkarma</t>
        </is>
      </c>
      <c r="C50" s="43" t="inlineStr">
        <is>
          <t>Öne Çıkarma - Doktor</t>
        </is>
      </c>
      <c r="D50" s="43" t="inlineStr">
        <is>
          <t>Op.Dr. Eren Kaya</t>
        </is>
      </c>
      <c r="E50" s="43" t="inlineStr">
        <is>
          <t>Instagram gönderisi: •Gebelikte Tarama Testleri |...</t>
        </is>
      </c>
      <c r="F50" s="44" t="n">
        <v>411.17</v>
      </c>
      <c r="G50" s="45">
        <f>F50/SUM($F$2:$F$59)</f>
        <v/>
      </c>
      <c r="H50" s="46" t="n">
        <v>1</v>
      </c>
      <c r="I50" s="44">
        <f>F50/H50</f>
        <v/>
      </c>
      <c r="J50" s="46" t="n">
        <v>229</v>
      </c>
    </row>
    <row r="51">
      <c r="A51" s="47" t="inlineStr">
        <is>
          <t>Hastane (Kurumsal)</t>
        </is>
      </c>
      <c r="B51" s="47" t="inlineStr">
        <is>
          <t>Instagram Öne Çıkarma</t>
        </is>
      </c>
      <c r="C51" s="47" t="inlineStr">
        <is>
          <t>Öne Çıkarma - Doruk Hastaneleri</t>
        </is>
      </c>
      <c r="D51" s="47" t="inlineStr">
        <is>
          <t>Doruk Hastaneleri</t>
        </is>
      </c>
      <c r="E51" s="47" t="inlineStr">
        <is>
          <t>Instagram gönderisi: 🏅 BURSA'DA BİR İLK
Özel...</t>
        </is>
      </c>
      <c r="F51" s="48" t="n">
        <v>408.52</v>
      </c>
      <c r="G51" s="49">
        <f>F51/SUM($F$2:$F$59)</f>
        <v/>
      </c>
      <c r="H51" s="50" t="n">
        <v>1</v>
      </c>
      <c r="I51" s="48">
        <f>F51/H51</f>
        <v/>
      </c>
      <c r="J51" s="50" t="n">
        <v>139</v>
      </c>
    </row>
    <row r="52">
      <c r="A52" s="43" t="inlineStr">
        <is>
          <t>Doktor Sayfaları</t>
        </is>
      </c>
      <c r="B52" s="43" t="inlineStr">
        <is>
          <t>Instagram Öne Çıkarma</t>
        </is>
      </c>
      <c r="C52" s="43" t="inlineStr">
        <is>
          <t>Öne Çıkarma - Doktor</t>
        </is>
      </c>
      <c r="D52" s="43" t="inlineStr">
        <is>
          <t>Doç.Dr. Selin Aktürk Esen</t>
        </is>
      </c>
      <c r="E52" s="43" t="inlineStr">
        <is>
          <t>Instagram gönderisi: 🎗️ Kemoterapi Alan Her...</t>
        </is>
      </c>
      <c r="F52" s="44" t="n">
        <v>407.16</v>
      </c>
      <c r="G52" s="45">
        <f>F52/SUM($F$2:$F$59)</f>
        <v/>
      </c>
      <c r="H52" s="46" t="n">
        <v>1</v>
      </c>
      <c r="I52" s="44">
        <f>F52/H52</f>
        <v/>
      </c>
      <c r="J52" s="46" t="n">
        <v>214</v>
      </c>
    </row>
    <row r="53">
      <c r="A53" s="47" t="inlineStr">
        <is>
          <t>Hastane (Kurumsal)</t>
        </is>
      </c>
      <c r="B53" s="47" t="inlineStr">
        <is>
          <t>Instagram Öne Çıkarma</t>
        </is>
      </c>
      <c r="C53" s="47" t="inlineStr">
        <is>
          <t>Öne Çıkarma - Doruk Hastaneleri</t>
        </is>
      </c>
      <c r="D53" s="47" t="inlineStr">
        <is>
          <t>Doruk Hastaneleri</t>
        </is>
      </c>
      <c r="E53" s="47" t="inlineStr">
        <is>
          <t>Instagram gönderisi: Gebelikte bel ağrısı sık...</t>
        </is>
      </c>
      <c r="F53" s="48" t="n">
        <v>389.79</v>
      </c>
      <c r="G53" s="49">
        <f>F53/SUM($F$2:$F$59)</f>
        <v/>
      </c>
      <c r="H53" s="50" t="n">
        <v>1</v>
      </c>
      <c r="I53" s="48">
        <f>F53/H53</f>
        <v/>
      </c>
      <c r="J53" s="50" t="n">
        <v>72</v>
      </c>
    </row>
    <row r="54">
      <c r="A54" s="43" t="inlineStr">
        <is>
          <t>Hastane (Kurumsal)</t>
        </is>
      </c>
      <c r="B54" s="43" t="inlineStr">
        <is>
          <t>Instagram Öne Çıkarma</t>
        </is>
      </c>
      <c r="C54" s="43" t="inlineStr">
        <is>
          <t>Öne Çıkarma - Doruk Hastaneleri</t>
        </is>
      </c>
      <c r="D54" s="43" t="inlineStr">
        <is>
          <t>Doruk Hastaneleri</t>
        </is>
      </c>
      <c r="E54" s="43" t="inlineStr">
        <is>
          <t>Instagram gönderisi: Aşılama tedavisi, gebelik...</t>
        </is>
      </c>
      <c r="F54" s="44" t="n">
        <v>383.58</v>
      </c>
      <c r="G54" s="45">
        <f>F54/SUM($F$2:$F$59)</f>
        <v/>
      </c>
      <c r="H54" s="46" t="n">
        <v>1</v>
      </c>
      <c r="I54" s="44">
        <f>F54/H54</f>
        <v/>
      </c>
      <c r="J54" s="46" t="n">
        <v>46</v>
      </c>
    </row>
    <row r="55">
      <c r="A55" s="47" t="inlineStr">
        <is>
          <t>Hastane (Kurumsal)</t>
        </is>
      </c>
      <c r="B55" s="47" t="inlineStr">
        <is>
          <t>Instagram Öne Çıkarma</t>
        </is>
      </c>
      <c r="C55" s="47" t="inlineStr">
        <is>
          <t>Öne Çıkarma - Doruk Hastaneleri</t>
        </is>
      </c>
      <c r="D55" s="47" t="inlineStr">
        <is>
          <t>Doruk Hastaneleri</t>
        </is>
      </c>
      <c r="E55" s="47" t="inlineStr">
        <is>
          <t>Instagram gönderisi: Ablasyon tedavisi, vücutta...</t>
        </is>
      </c>
      <c r="F55" s="48" t="n">
        <v>370.9</v>
      </c>
      <c r="G55" s="49">
        <f>F55/SUM($F$2:$F$59)</f>
        <v/>
      </c>
      <c r="H55" s="50" t="n">
        <v>1</v>
      </c>
      <c r="I55" s="48">
        <f>F55/H55</f>
        <v/>
      </c>
      <c r="J55" s="50" t="n">
        <v>45</v>
      </c>
    </row>
    <row r="56">
      <c r="A56" s="43" t="inlineStr">
        <is>
          <t>Doktor Sayfaları</t>
        </is>
      </c>
      <c r="B56" s="43" t="inlineStr">
        <is>
          <t>Instagram Öne Çıkarma</t>
        </is>
      </c>
      <c r="C56" s="43" t="inlineStr">
        <is>
          <t>Öne Çıkarma - Doktor</t>
        </is>
      </c>
      <c r="D56" s="43" t="inlineStr">
        <is>
          <t>Op. Dr. Emre Çaycı</t>
        </is>
      </c>
      <c r="E56" s="43" t="inlineStr">
        <is>
          <t>Instagram gönderisi: 🖐️ Parmak Ucu Defekti Nasıl...</t>
        </is>
      </c>
      <c r="F56" s="44" t="n">
        <v>359.45</v>
      </c>
      <c r="G56" s="45">
        <f>F56/SUM($F$2:$F$59)</f>
        <v/>
      </c>
      <c r="H56" s="46" t="n">
        <v>1</v>
      </c>
      <c r="I56" s="44">
        <f>F56/H56</f>
        <v/>
      </c>
      <c r="J56" s="46" t="n">
        <v>135</v>
      </c>
    </row>
    <row r="57">
      <c r="A57" s="47" t="inlineStr">
        <is>
          <t>Doktor Sayfaları</t>
        </is>
      </c>
      <c r="B57" s="47" t="inlineStr">
        <is>
          <t>Instagram Öne Çıkarma</t>
        </is>
      </c>
      <c r="C57" s="47" t="inlineStr">
        <is>
          <t>Öne Çıkarma - Doktor</t>
        </is>
      </c>
      <c r="D57" s="47" t="inlineStr">
        <is>
          <t>Op.Dr. Abdullah ERTAŞ</t>
        </is>
      </c>
      <c r="E57" s="47" t="inlineStr">
        <is>
          <t>Instagram gönderisi: 🦴 Bel Fıtığında Doğru Zaman...</t>
        </is>
      </c>
      <c r="F57" s="48" t="n">
        <v>350.58</v>
      </c>
      <c r="G57" s="49">
        <f>F57/SUM($F$2:$F$59)</f>
        <v/>
      </c>
      <c r="H57" s="50" t="n">
        <v>1</v>
      </c>
      <c r="I57" s="48">
        <f>F57/H57</f>
        <v/>
      </c>
      <c r="J57" s="50" t="n">
        <v>155</v>
      </c>
    </row>
    <row r="58">
      <c r="A58" s="43" t="inlineStr">
        <is>
          <t>Doktor Sayfaları</t>
        </is>
      </c>
      <c r="B58" s="43" t="inlineStr">
        <is>
          <t>Instagram Öne Çıkarma</t>
        </is>
      </c>
      <c r="C58" s="43" t="inlineStr">
        <is>
          <t>Öne Çıkarma - Doktor</t>
        </is>
      </c>
      <c r="D58" s="43" t="inlineStr">
        <is>
          <t>Doç.Dr. Selin Aktürk Esen</t>
        </is>
      </c>
      <c r="E58" s="43" t="inlineStr">
        <is>
          <t>Instagram gönderisi: 🎗️ Kanser Tanısı Fizik...</t>
        </is>
      </c>
      <c r="F58" s="44" t="n">
        <v>339.41</v>
      </c>
      <c r="G58" s="45">
        <f>F58/SUM($F$2:$F$59)</f>
        <v/>
      </c>
      <c r="H58" s="46" t="n">
        <v>1</v>
      </c>
      <c r="I58" s="44">
        <f>F58/H58</f>
        <v/>
      </c>
      <c r="J58" s="46" t="n">
        <v>73</v>
      </c>
    </row>
    <row r="59">
      <c r="A59" s="47" t="inlineStr">
        <is>
          <t>Doktor Sayfaları</t>
        </is>
      </c>
      <c r="B59" s="47" t="inlineStr">
        <is>
          <t>Instagram Öne Çıkarma</t>
        </is>
      </c>
      <c r="C59" s="47" t="inlineStr">
        <is>
          <t>Öne Çıkarma - Doktor</t>
        </is>
      </c>
      <c r="D59" s="47" t="inlineStr">
        <is>
          <t>Op.Dr. Abdullah ERTAŞ</t>
        </is>
      </c>
      <c r="E59" s="47" t="inlineStr">
        <is>
          <t>Instagram gönderisi: 🦴 Omurga Kırıklarında Asıl...</t>
        </is>
      </c>
      <c r="F59" s="48" t="n">
        <v>336.23</v>
      </c>
      <c r="G59" s="49">
        <f>F59/SUM($F$2:$F$59)</f>
        <v/>
      </c>
      <c r="H59" s="50" t="n">
        <v>1</v>
      </c>
      <c r="I59" s="48">
        <f>F59/H59</f>
        <v/>
      </c>
      <c r="J59" s="50" t="n">
        <v>81</v>
      </c>
    </row>
    <row r="60">
      <c r="A60" s="51" t="n"/>
      <c r="B60" s="51" t="n"/>
      <c r="C60" s="51" t="n"/>
      <c r="D60" s="51" t="n"/>
      <c r="E60" s="52" t="inlineStr">
        <is>
          <t>TOPLAM</t>
        </is>
      </c>
      <c r="F60" s="18">
        <f>SUM(F2:F59)</f>
        <v/>
      </c>
      <c r="G60" s="19">
        <f>SUM(G2:G59)</f>
        <v/>
      </c>
      <c r="H60" s="51" t="n"/>
      <c r="I60" s="51" t="n"/>
      <c r="J60" s="51" t="n"/>
    </row>
  </sheetData>
  <autoFilter ref="A1:J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26" customHeight="1">
      <c r="B2" s="24" t="inlineStr">
        <is>
          <t>GÜNLÜK 60.000 TL SENARYOSU — Aynı Oranlarda Dağıtım</t>
        </is>
      </c>
    </row>
    <row r="3">
      <c r="B3" s="53" t="inlineStr">
        <is>
          <t>Geçmiş 30 günlük harcama oranları korunarak, günlük bütçe aşağıdaki "Günlük Bütçe" hücresine göre dağıtılır.</t>
        </is>
      </c>
    </row>
    <row r="5">
      <c r="B5" s="54" t="inlineStr">
        <is>
          <t>Günlük Bütçe (TL) →</t>
        </is>
      </c>
      <c r="C5" s="55" t="n">
        <v>60000</v>
      </c>
      <c r="D5" s="56" t="inlineStr">
        <is>
          <t>← değiştirin, tüm tablo güncellenir</t>
        </is>
      </c>
    </row>
    <row r="6">
      <c r="B6" s="57" t="inlineStr">
        <is>
          <t>Aylık Gün Sayısı →</t>
        </is>
      </c>
      <c r="C6" s="58" t="n">
        <v>30</v>
      </c>
    </row>
    <row r="8" ht="24" customHeight="1">
      <c r="B8" s="25" t="inlineStr">
        <is>
          <t>A) ANA KATEGORİYE GÖRE (Hastane / Marka / Doktor)</t>
        </is>
      </c>
    </row>
    <row r="9">
      <c r="B9" s="39" t="inlineStr">
        <is>
          <t>Kategori</t>
        </is>
      </c>
      <c r="C9" s="39" t="inlineStr">
        <is>
          <t>Geçmiş Pay %</t>
        </is>
      </c>
      <c r="D9" s="39" t="inlineStr">
        <is>
          <t>Günlük Tutar (TL)</t>
        </is>
      </c>
      <c r="E9" s="39" t="inlineStr">
        <is>
          <t>Aylık Tutar (TL)</t>
        </is>
      </c>
    </row>
    <row r="10">
      <c r="B10" s="26" t="inlineStr">
        <is>
          <t>Hastane (Kurumsal)</t>
        </is>
      </c>
      <c r="C10" s="40">
        <f>(SUMIFS('Ham Veri (Kategorili)'!$G$2:$G$763,'Ham Veri (Kategorili)'!$D$2:$D$763,"Hastane (Kurumsal)")/SUM('Ham Veri (Kategorili)'!$G$2:$G$763))</f>
        <v/>
      </c>
      <c r="D10" s="59">
        <f>(SUMIFS('Ham Veri (Kategorili)'!$G$2:$G$763,'Ham Veri (Kategorili)'!$D$2:$D$763,"Hastane (Kurumsal)")/SUM('Ham Veri (Kategorili)'!$G$2:$G$763))*$C$5</f>
        <v/>
      </c>
      <c r="E10" s="27">
        <f>D10*$C$6</f>
        <v/>
      </c>
    </row>
    <row r="11">
      <c r="B11" s="29" t="inlineStr">
        <is>
          <t>Estetik Marka</t>
        </is>
      </c>
      <c r="C11" s="41">
        <f>(SUMIFS('Ham Veri (Kategorili)'!$G$2:$G$763,'Ham Veri (Kategorili)'!$D$2:$D$763,"Estetik Marka")/SUM('Ham Veri (Kategorili)'!$G$2:$G$763))</f>
        <v/>
      </c>
      <c r="D11" s="60">
        <f>(SUMIFS('Ham Veri (Kategorili)'!$G$2:$G$763,'Ham Veri (Kategorili)'!$D$2:$D$763,"Estetik Marka")/SUM('Ham Veri (Kategorili)'!$G$2:$G$763))*$C$5</f>
        <v/>
      </c>
      <c r="E11" s="30">
        <f>D11*$C$6</f>
        <v/>
      </c>
    </row>
    <row r="12">
      <c r="B12" s="26" t="inlineStr">
        <is>
          <t>Doktor Sayfaları</t>
        </is>
      </c>
      <c r="C12" s="40">
        <f>(SUMIFS('Ham Veri (Kategorili)'!$G$2:$G$763,'Ham Veri (Kategorili)'!$D$2:$D$763,"Doktor Sayfaları")/SUM('Ham Veri (Kategorili)'!$G$2:$G$763))</f>
        <v/>
      </c>
      <c r="D12" s="59">
        <f>(SUMIFS('Ham Veri (Kategorili)'!$G$2:$G$763,'Ham Veri (Kategorili)'!$D$2:$D$763,"Doktor Sayfaları")/SUM('Ham Veri (Kategorili)'!$G$2:$G$763))*$C$5</f>
        <v/>
      </c>
      <c r="E12" s="27">
        <f>D12*$C$6</f>
        <v/>
      </c>
    </row>
    <row r="13">
      <c r="B13" s="32" t="inlineStr">
        <is>
          <t>TOPLAM</t>
        </is>
      </c>
      <c r="C13" s="34">
        <f>SUM(C10:C12)</f>
        <v/>
      </c>
      <c r="D13" s="33">
        <f>SUM(D10:D12)</f>
        <v/>
      </c>
      <c r="E13" s="33">
        <f>SUM(E10:E12)</f>
        <v/>
      </c>
    </row>
    <row r="15" ht="24" customHeight="1">
      <c r="B15" s="35" t="inlineStr">
        <is>
          <t>B) KAMPANYA AMACINA GÖRE (Lead / Öne Çıkarma / Bilinirlik)</t>
        </is>
      </c>
    </row>
    <row r="16">
      <c r="B16" s="20" t="inlineStr">
        <is>
          <t>Kategori</t>
        </is>
      </c>
      <c r="C16" s="20" t="inlineStr">
        <is>
          <t>Geçmiş Pay %</t>
        </is>
      </c>
      <c r="D16" s="20" t="inlineStr">
        <is>
          <t>Günlük Tutar (TL)</t>
        </is>
      </c>
      <c r="E16" s="20" t="inlineStr">
        <is>
          <t>Aylık Tutar (TL)</t>
        </is>
      </c>
    </row>
    <row r="17">
      <c r="B17" s="26" t="inlineStr">
        <is>
          <t>Lead Toplama (Form)</t>
        </is>
      </c>
      <c r="C17" s="36">
        <f>(SUMIFS('Ham Veri (Kategorili)'!$G$2:$G$763,'Ham Veri (Kategorili)'!$E$2:$E$763,"Lead Toplama (Form)")/SUM('Ham Veri (Kategorili)'!$G$2:$G$763))</f>
        <v/>
      </c>
      <c r="D17" s="59">
        <f>(SUMIFS('Ham Veri (Kategorili)'!$G$2:$G$763,'Ham Veri (Kategorili)'!$E$2:$E$763,"Lead Toplama (Form)")/SUM('Ham Veri (Kategorili)'!$G$2:$G$763))*$C$5</f>
        <v/>
      </c>
      <c r="E17" s="27">
        <f>D17*$C$6</f>
        <v/>
      </c>
    </row>
    <row r="18">
      <c r="B18" s="29" t="inlineStr">
        <is>
          <t>Instagram Öne Çıkarma</t>
        </is>
      </c>
      <c r="C18" s="37">
        <f>(SUMIFS('Ham Veri (Kategorili)'!$G$2:$G$763,'Ham Veri (Kategorili)'!$E$2:$E$763,"Instagram Öne Çıkarma")/SUM('Ham Veri (Kategorili)'!$G$2:$G$763))</f>
        <v/>
      </c>
      <c r="D18" s="60">
        <f>(SUMIFS('Ham Veri (Kategorili)'!$G$2:$G$763,'Ham Veri (Kategorili)'!$E$2:$E$763,"Instagram Öne Çıkarma")/SUM('Ham Veri (Kategorili)'!$G$2:$G$763))*$C$5</f>
        <v/>
      </c>
      <c r="E18" s="30">
        <f>D18*$C$6</f>
        <v/>
      </c>
    </row>
    <row r="19">
      <c r="B19" s="26" t="inlineStr">
        <is>
          <t>Marka Bilinirliği (Erişim)</t>
        </is>
      </c>
      <c r="C19" s="36">
        <f>(SUMIFS('Ham Veri (Kategorili)'!$G$2:$G$763,'Ham Veri (Kategorili)'!$E$2:$E$763,"Marka Bilinirliği (Erişim)")/SUM('Ham Veri (Kategorili)'!$G$2:$G$763))</f>
        <v/>
      </c>
      <c r="D19" s="59">
        <f>(SUMIFS('Ham Veri (Kategorili)'!$G$2:$G$763,'Ham Veri (Kategorili)'!$E$2:$E$763,"Marka Bilinirliği (Erişim)")/SUM('Ham Veri (Kategorili)'!$G$2:$G$763))*$C$5</f>
        <v/>
      </c>
      <c r="E19" s="27">
        <f>D19*$C$6</f>
        <v/>
      </c>
    </row>
    <row r="20">
      <c r="B20" s="32" t="inlineStr">
        <is>
          <t>TOPLAM</t>
        </is>
      </c>
      <c r="C20" s="34">
        <f>SUM(C17:C19)</f>
        <v/>
      </c>
      <c r="D20" s="33">
        <f>SUM(D17:D19)</f>
        <v/>
      </c>
      <c r="E20" s="33">
        <f>SUM(E17:E19)</f>
        <v/>
      </c>
    </row>
    <row r="22" ht="24" customHeight="1">
      <c r="B22" s="38" t="inlineStr">
        <is>
          <t>C) DETAYLI ALT KATEGORİLERE GÖRE (Tam Kırılım)</t>
        </is>
      </c>
    </row>
    <row r="23">
      <c r="B23" s="13" t="inlineStr">
        <is>
          <t>Kategori</t>
        </is>
      </c>
      <c r="C23" s="13" t="inlineStr">
        <is>
          <t>Geçmiş Pay %</t>
        </is>
      </c>
      <c r="D23" s="13" t="inlineStr">
        <is>
          <t>Günlük Tutar (TL)</t>
        </is>
      </c>
      <c r="E23" s="13" t="inlineStr">
        <is>
          <t>Aylık Tutar (TL)</t>
        </is>
      </c>
    </row>
    <row r="24">
      <c r="B24" s="26" t="inlineStr">
        <is>
          <t>Lead - Kadın Doğum/Gebe/FTR</t>
        </is>
      </c>
      <c r="C24" s="28">
        <f>(SUMIFS('Ham Veri (Kategorili)'!$G$2:$G$763,'Ham Veri (Kategorili)'!$F$2:$F$763,"Lead - Kadın Doğum/Gebe/FTR")/SUM('Ham Veri (Kategorili)'!$G$2:$G$763))</f>
        <v/>
      </c>
      <c r="D24" s="59">
        <f>(SUMIFS('Ham Veri (Kategorili)'!$G$2:$G$763,'Ham Veri (Kategorili)'!$F$2:$F$763,"Lead - Kadın Doğum/Gebe/FTR")/SUM('Ham Veri (Kategorili)'!$G$2:$G$763))*$C$5</f>
        <v/>
      </c>
      <c r="E24" s="27">
        <f>D24*$C$6</f>
        <v/>
      </c>
    </row>
    <row r="25">
      <c r="B25" s="29" t="inlineStr">
        <is>
          <t>Lead - Estetik/Plastik/Saç</t>
        </is>
      </c>
      <c r="C25" s="31">
        <f>(SUMIFS('Ham Veri (Kategorili)'!$G$2:$G$763,'Ham Veri (Kategorili)'!$F$2:$F$763,"Lead - Estetik/Plastik/Saç")/SUM('Ham Veri (Kategorili)'!$G$2:$G$763))</f>
        <v/>
      </c>
      <c r="D25" s="60">
        <f>(SUMIFS('Ham Veri (Kategorili)'!$G$2:$G$763,'Ham Veri (Kategorili)'!$F$2:$F$763,"Lead - Estetik/Plastik/Saç")/SUM('Ham Veri (Kategorili)'!$G$2:$G$763))*$C$5</f>
        <v/>
      </c>
      <c r="E25" s="30">
        <f>D25*$C$6</f>
        <v/>
      </c>
    </row>
    <row r="26">
      <c r="B26" s="26" t="inlineStr">
        <is>
          <t>Lead - Check-up/Tarama</t>
        </is>
      </c>
      <c r="C26" s="28">
        <f>(SUMIFS('Ham Veri (Kategorili)'!$G$2:$G$763,'Ham Veri (Kategorili)'!$F$2:$F$763,"Lead - Check-up/Tarama")/SUM('Ham Veri (Kategorili)'!$G$2:$G$763))</f>
        <v/>
      </c>
      <c r="D26" s="59">
        <f>(SUMIFS('Ham Veri (Kategorili)'!$G$2:$G$763,'Ham Veri (Kategorili)'!$F$2:$F$763,"Lead - Check-up/Tarama")/SUM('Ham Veri (Kategorili)'!$G$2:$G$763))*$C$5</f>
        <v/>
      </c>
      <c r="E26" s="27">
        <f>D26*$C$6</f>
        <v/>
      </c>
    </row>
    <row r="27">
      <c r="B27" s="29" t="inlineStr">
        <is>
          <t>Lead - İK/İş Başvurusu</t>
        </is>
      </c>
      <c r="C27" s="31">
        <f>(SUMIFS('Ham Veri (Kategorili)'!$G$2:$G$763,'Ham Veri (Kategorili)'!$F$2:$F$763,"Lead - İK/İş Başvurusu")/SUM('Ham Veri (Kategorili)'!$G$2:$G$763))</f>
        <v/>
      </c>
      <c r="D27" s="60">
        <f>(SUMIFS('Ham Veri (Kategorili)'!$G$2:$G$763,'Ham Veri (Kategorili)'!$F$2:$F$763,"Lead - İK/İş Başvurusu")/SUM('Ham Veri (Kategorili)'!$G$2:$G$763))*$C$5</f>
        <v/>
      </c>
      <c r="E27" s="30">
        <f>D27*$C$6</f>
        <v/>
      </c>
    </row>
    <row r="28">
      <c r="B28" s="26" t="inlineStr">
        <is>
          <t>Öne Çıkarma - Doruk Hastaneleri</t>
        </is>
      </c>
      <c r="C28" s="28">
        <f>(SUMIFS('Ham Veri (Kategorili)'!$G$2:$G$763,'Ham Veri (Kategorili)'!$F$2:$F$763,"Öne Çıkarma - Doruk Hastaneleri")/SUM('Ham Veri (Kategorili)'!$G$2:$G$763))</f>
        <v/>
      </c>
      <c r="D28" s="59">
        <f>(SUMIFS('Ham Veri (Kategorili)'!$G$2:$G$763,'Ham Veri (Kategorili)'!$F$2:$F$763,"Öne Çıkarma - Doruk Hastaneleri")/SUM('Ham Veri (Kategorili)'!$G$2:$G$763))*$C$5</f>
        <v/>
      </c>
      <c r="E28" s="27">
        <f>D28*$C$6</f>
        <v/>
      </c>
    </row>
    <row r="29">
      <c r="B29" s="29" t="inlineStr">
        <is>
          <t>Öne Çıkarma - Doktor</t>
        </is>
      </c>
      <c r="C29" s="31">
        <f>(SUMIFS('Ham Veri (Kategorili)'!$G$2:$G$763,'Ham Veri (Kategorili)'!$F$2:$F$763,"Öne Çıkarma - Doktor")/SUM('Ham Veri (Kategorili)'!$G$2:$G$763))</f>
        <v/>
      </c>
      <c r="D29" s="60">
        <f>(SUMIFS('Ham Veri (Kategorili)'!$G$2:$G$763,'Ham Veri (Kategorili)'!$F$2:$F$763,"Öne Çıkarma - Doktor")/SUM('Ham Veri (Kategorili)'!$G$2:$G$763))*$C$5</f>
        <v/>
      </c>
      <c r="E29" s="30">
        <f>D29*$C$6</f>
        <v/>
      </c>
    </row>
    <row r="30">
      <c r="B30" s="26" t="inlineStr">
        <is>
          <t>Öne Çıkarma - Doruk Estetik</t>
        </is>
      </c>
      <c r="C30" s="28">
        <f>(SUMIFS('Ham Veri (Kategorili)'!$G$2:$G$763,'Ham Veri (Kategorili)'!$F$2:$F$763,"Öne Çıkarma - Doruk Estetik")/SUM('Ham Veri (Kategorili)'!$G$2:$G$763))</f>
        <v/>
      </c>
      <c r="D30" s="59">
        <f>(SUMIFS('Ham Veri (Kategorili)'!$G$2:$G$763,'Ham Veri (Kategorili)'!$F$2:$F$763,"Öne Çıkarma - Doruk Estetik")/SUM('Ham Veri (Kategorili)'!$G$2:$G$763))*$C$5</f>
        <v/>
      </c>
      <c r="E30" s="27">
        <f>D30*$C$6</f>
        <v/>
      </c>
    </row>
    <row r="31">
      <c r="B31" s="29" t="inlineStr">
        <is>
          <t>Bilinirlik - Doktor Tanıtım</t>
        </is>
      </c>
      <c r="C31" s="31">
        <f>(SUMIFS('Ham Veri (Kategorili)'!$G$2:$G$763,'Ham Veri (Kategorili)'!$F$2:$F$763,"Bilinirlik - Doktor Tanıtım")/SUM('Ham Veri (Kategorili)'!$G$2:$G$763))</f>
        <v/>
      </c>
      <c r="D31" s="60">
        <f>(SUMIFS('Ham Veri (Kategorili)'!$G$2:$G$763,'Ham Veri (Kategorili)'!$F$2:$F$763,"Bilinirlik - Doktor Tanıtım")/SUM('Ham Veri (Kategorili)'!$G$2:$G$763))*$C$5</f>
        <v/>
      </c>
      <c r="E31" s="30">
        <f>D31*$C$6</f>
        <v/>
      </c>
    </row>
    <row r="32">
      <c r="B32" s="26" t="inlineStr">
        <is>
          <t>Bilinirlik - Kurumsal (ÖSS-TSS)</t>
        </is>
      </c>
      <c r="C32" s="28">
        <f>(SUMIFS('Ham Veri (Kategorili)'!$G$2:$G$763,'Ham Veri (Kategorili)'!$F$2:$F$763,"Bilinirlik - Kurumsal (ÖSS-TSS)")/SUM('Ham Veri (Kategorili)'!$G$2:$G$763))</f>
        <v/>
      </c>
      <c r="D32" s="59">
        <f>(SUMIFS('Ham Veri (Kategorili)'!$G$2:$G$763,'Ham Veri (Kategorili)'!$F$2:$F$763,"Bilinirlik - Kurumsal (ÖSS-TSS)")/SUM('Ham Veri (Kategorili)'!$G$2:$G$763))*$C$5</f>
        <v/>
      </c>
      <c r="E32" s="27">
        <f>D32*$C$6</f>
        <v/>
      </c>
    </row>
    <row r="33">
      <c r="B33" s="29" t="inlineStr">
        <is>
          <t>Bilinirlik - Gebe/Doğum</t>
        </is>
      </c>
      <c r="C33" s="31">
        <f>(SUMIFS('Ham Veri (Kategorili)'!$G$2:$G$763,'Ham Veri (Kategorili)'!$F$2:$F$763,"Bilinirlik - Gebe/Doğum")/SUM('Ham Veri (Kategorili)'!$G$2:$G$763))</f>
        <v/>
      </c>
      <c r="D33" s="60">
        <f>(SUMIFS('Ham Veri (Kategorili)'!$G$2:$G$763,'Ham Veri (Kategorili)'!$F$2:$F$763,"Bilinirlik - Gebe/Doğum")/SUM('Ham Veri (Kategorili)'!$G$2:$G$763))*$C$5</f>
        <v/>
      </c>
      <c r="E33" s="30">
        <f>D33*$C$6</f>
        <v/>
      </c>
    </row>
    <row r="34">
      <c r="B34" s="32" t="inlineStr">
        <is>
          <t>TOPLAM</t>
        </is>
      </c>
      <c r="C34" s="34">
        <f>SUM(C24:C33)</f>
        <v/>
      </c>
      <c r="D34" s="33">
        <f>SUM(D24:D33)</f>
        <v/>
      </c>
      <c r="E34" s="33">
        <f>SUM(E24:E33)</f>
        <v/>
      </c>
    </row>
    <row r="36">
      <c r="B36" s="61" t="inlineStr">
        <is>
          <t>Not: Yüzdeler 23 Haz–22 Tem 2026 gerçekleşen harcamalardan otomatik hesaplanır. Sarı hücreleri değiştirerek farklı bütçe/gün senaryoları görebilirsiniz.</t>
        </is>
      </c>
    </row>
  </sheetData>
  <mergeCells count="8">
    <mergeCell ref="B3:G3"/>
    <mergeCell ref="B2:G2"/>
    <mergeCell ref="B22:G22"/>
    <mergeCell ref="B36:G36"/>
    <mergeCell ref="D5:G5"/>
    <mergeCell ref="B8:G8"/>
    <mergeCell ref="B5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5" customWidth="1" min="4" max="4"/>
    <col width="11" customWidth="1" min="5" max="5"/>
    <col width="12" customWidth="1" min="6" max="6"/>
    <col width="15" customWidth="1" min="7" max="7"/>
    <col width="15" customWidth="1" min="8" max="8"/>
  </cols>
  <sheetData>
    <row r="2" ht="26" customHeight="1">
      <c r="B2" s="24" t="inlineStr">
        <is>
          <t>SAYFA KATEGORİSİ × KAMPANYA AMACI MATRİSİ</t>
        </is>
      </c>
    </row>
    <row r="3">
      <c r="B3" s="53" t="inlineStr">
        <is>
          <t>Her sayfa kategorisinin altında amaçlar; tutar + oran + günlük 60.000 TL karşılığı. (Genel% = toplam içindeki pay, Sayfa-İçi% = o sayfanın kendi içindeki pay)</t>
        </is>
      </c>
    </row>
    <row r="5">
      <c r="B5" s="57" t="inlineStr">
        <is>
          <t>Günlük Bütçe (TL) →</t>
        </is>
      </c>
      <c r="D5" s="62" t="n">
        <v>60000</v>
      </c>
    </row>
    <row r="7">
      <c r="B7" s="39" t="inlineStr">
        <is>
          <t>Sayfa Kategorisi</t>
        </is>
      </c>
      <c r="C7" s="39" t="inlineStr">
        <is>
          <t>Amaç</t>
        </is>
      </c>
      <c r="D7" s="39" t="inlineStr">
        <is>
          <t>Harcama 30g (TL)</t>
        </is>
      </c>
      <c r="E7" s="39" t="inlineStr">
        <is>
          <t>Genel %</t>
        </is>
      </c>
      <c r="F7" s="39" t="inlineStr">
        <is>
          <t>Sayfa-İçi %</t>
        </is>
      </c>
      <c r="G7" s="39" t="inlineStr">
        <is>
          <t>Günlük (60K)</t>
        </is>
      </c>
      <c r="H7" s="39" t="inlineStr">
        <is>
          <t>Aylık (60K)</t>
        </is>
      </c>
    </row>
    <row r="8">
      <c r="B8" s="63" t="inlineStr">
        <is>
          <t>Hastane (Kurumsal)</t>
        </is>
      </c>
      <c r="C8" s="64" t="inlineStr">
        <is>
          <t>Lead Toplama (Form)</t>
        </is>
      </c>
      <c r="D8" s="15">
        <f>SUMIFS('Ham Veri (Kategorili)'!$G$2:$G$763,'Ham Veri (Kategorili)'!$D$2:$D$763,"Hastane (Kurumsal)",'Ham Veri (Kategorili)'!$E$2:$E$763,"Lead Toplama (Form)")</f>
        <v/>
      </c>
      <c r="E8" s="16">
        <f>SUMIFS('Ham Veri (Kategorili)'!$G$2:$G$763,'Ham Veri (Kategorili)'!$D$2:$D$763,"Hastane (Kurumsal)",'Ham Veri (Kategorili)'!$E$2:$E$763,"Lead Toplama (Form)")/SUM('Ham Veri (Kategorili)'!$G$2:$G$763)</f>
        <v/>
      </c>
      <c r="F8" s="65">
        <f>SUMIFS('Ham Veri (Kategorili)'!$G$2:$G$763,'Ham Veri (Kategorili)'!$D$2:$D$763,"Hastane (Kurumsal)",'Ham Veri (Kategorili)'!$E$2:$E$763,"Lead Toplama (Form)")/SUMIFS('Ham Veri (Kategorili)'!$G$2:$G$763,'Ham Veri (Kategorili)'!$D$2:$D$763,"Hastane (Kurumsal)")</f>
        <v/>
      </c>
      <c r="G8" s="66">
        <f>(SUMIFS('Ham Veri (Kategorili)'!$G$2:$G$763,'Ham Veri (Kategorili)'!$D$2:$D$763,"Hastane (Kurumsal)",'Ham Veri (Kategorili)'!$E$2:$E$763,"Lead Toplama (Form)")/SUM('Ham Veri (Kategorili)'!$G$2:$G$763))*$D$5</f>
        <v/>
      </c>
      <c r="H8" s="15">
        <f>G8*30</f>
        <v/>
      </c>
    </row>
    <row r="9">
      <c r="B9" s="67" t="inlineStr"/>
      <c r="C9" s="64" t="inlineStr">
        <is>
          <t>Instagram Öne Çıkarma</t>
        </is>
      </c>
      <c r="D9" s="15">
        <f>SUMIFS('Ham Veri (Kategorili)'!$G$2:$G$763,'Ham Veri (Kategorili)'!$D$2:$D$763,"Hastane (Kurumsal)",'Ham Veri (Kategorili)'!$E$2:$E$763,"Instagram Öne Çıkarma")</f>
        <v/>
      </c>
      <c r="E9" s="16">
        <f>SUMIFS('Ham Veri (Kategorili)'!$G$2:$G$763,'Ham Veri (Kategorili)'!$D$2:$D$763,"Hastane (Kurumsal)",'Ham Veri (Kategorili)'!$E$2:$E$763,"Instagram Öne Çıkarma")/SUM('Ham Veri (Kategorili)'!$G$2:$G$763)</f>
        <v/>
      </c>
      <c r="F9" s="65">
        <f>SUMIFS('Ham Veri (Kategorili)'!$G$2:$G$763,'Ham Veri (Kategorili)'!$D$2:$D$763,"Hastane (Kurumsal)",'Ham Veri (Kategorili)'!$E$2:$E$763,"Instagram Öne Çıkarma")/SUMIFS('Ham Veri (Kategorili)'!$G$2:$G$763,'Ham Veri (Kategorili)'!$D$2:$D$763,"Hastane (Kurumsal)")</f>
        <v/>
      </c>
      <c r="G9" s="66">
        <f>(SUMIFS('Ham Veri (Kategorili)'!$G$2:$G$763,'Ham Veri (Kategorili)'!$D$2:$D$763,"Hastane (Kurumsal)",'Ham Veri (Kategorili)'!$E$2:$E$763,"Instagram Öne Çıkarma")/SUM('Ham Veri (Kategorili)'!$G$2:$G$763))*$D$5</f>
        <v/>
      </c>
      <c r="H9" s="15">
        <f>G9*30</f>
        <v/>
      </c>
    </row>
    <row r="10">
      <c r="B10" s="67" t="inlineStr"/>
      <c r="C10" s="64" t="inlineStr">
        <is>
          <t>Marka Bilinirliği (Erişim)</t>
        </is>
      </c>
      <c r="D10" s="15">
        <f>SUMIFS('Ham Veri (Kategorili)'!$G$2:$G$763,'Ham Veri (Kategorili)'!$D$2:$D$763,"Hastane (Kurumsal)",'Ham Veri (Kategorili)'!$E$2:$E$763,"Marka Bilinirliği (Erişim)")</f>
        <v/>
      </c>
      <c r="E10" s="16">
        <f>SUMIFS('Ham Veri (Kategorili)'!$G$2:$G$763,'Ham Veri (Kategorili)'!$D$2:$D$763,"Hastane (Kurumsal)",'Ham Veri (Kategorili)'!$E$2:$E$763,"Marka Bilinirliği (Erişim)")/SUM('Ham Veri (Kategorili)'!$G$2:$G$763)</f>
        <v/>
      </c>
      <c r="F10" s="65">
        <f>SUMIFS('Ham Veri (Kategorili)'!$G$2:$G$763,'Ham Veri (Kategorili)'!$D$2:$D$763,"Hastane (Kurumsal)",'Ham Veri (Kategorili)'!$E$2:$E$763,"Marka Bilinirliği (Erişim)")/SUMIFS('Ham Veri (Kategorili)'!$G$2:$G$763,'Ham Veri (Kategorili)'!$D$2:$D$763,"Hastane (Kurumsal)")</f>
        <v/>
      </c>
      <c r="G10" s="66">
        <f>(SUMIFS('Ham Veri (Kategorili)'!$G$2:$G$763,'Ham Veri (Kategorili)'!$D$2:$D$763,"Hastane (Kurumsal)",'Ham Veri (Kategorili)'!$E$2:$E$763,"Marka Bilinirliği (Erişim)")/SUM('Ham Veri (Kategorili)'!$G$2:$G$763))*$D$5</f>
        <v/>
      </c>
      <c r="H10" s="15">
        <f>G10*30</f>
        <v/>
      </c>
    </row>
    <row r="11">
      <c r="B11" s="8" t="n"/>
      <c r="C11" s="7" t="inlineStr">
        <is>
          <t>— ALT TOPLAM</t>
        </is>
      </c>
      <c r="D11" s="68">
        <f>SUM(D8:D10)</f>
        <v/>
      </c>
      <c r="E11" s="69">
        <f>SUM(E8:E10)</f>
        <v/>
      </c>
      <c r="F11" s="69">
        <f>SUM(F8:F10)</f>
        <v/>
      </c>
      <c r="G11" s="68">
        <f>SUM(G8:G10)</f>
        <v/>
      </c>
      <c r="H11" s="68">
        <f>SUM(H8:H10)</f>
        <v/>
      </c>
    </row>
    <row r="12">
      <c r="B12" s="70" t="inlineStr">
        <is>
          <t>Estetik Marka</t>
        </is>
      </c>
      <c r="C12" s="64" t="inlineStr">
        <is>
          <t>Lead Toplama (Form)</t>
        </is>
      </c>
      <c r="D12" s="15">
        <f>SUMIFS('Ham Veri (Kategorili)'!$G$2:$G$763,'Ham Veri (Kategorili)'!$D$2:$D$763,"Estetik Marka",'Ham Veri (Kategorili)'!$E$2:$E$763,"Lead Toplama (Form)")</f>
        <v/>
      </c>
      <c r="E12" s="21">
        <f>SUMIFS('Ham Veri (Kategorili)'!$G$2:$G$763,'Ham Veri (Kategorili)'!$D$2:$D$763,"Estetik Marka",'Ham Veri (Kategorili)'!$E$2:$E$763,"Lead Toplama (Form)")/SUM('Ham Veri (Kategorili)'!$G$2:$G$763)</f>
        <v/>
      </c>
      <c r="F12" s="65">
        <f>SUMIFS('Ham Veri (Kategorili)'!$G$2:$G$763,'Ham Veri (Kategorili)'!$D$2:$D$763,"Estetik Marka",'Ham Veri (Kategorili)'!$E$2:$E$763,"Lead Toplama (Form)")/SUMIFS('Ham Veri (Kategorili)'!$G$2:$G$763,'Ham Veri (Kategorili)'!$D$2:$D$763,"Estetik Marka")</f>
        <v/>
      </c>
      <c r="G12" s="66">
        <f>(SUMIFS('Ham Veri (Kategorili)'!$G$2:$G$763,'Ham Veri (Kategorili)'!$D$2:$D$763,"Estetik Marka",'Ham Veri (Kategorili)'!$E$2:$E$763,"Lead Toplama (Form)")/SUM('Ham Veri (Kategorili)'!$G$2:$G$763))*$D$5</f>
        <v/>
      </c>
      <c r="H12" s="15">
        <f>G12*30</f>
        <v/>
      </c>
    </row>
    <row r="13">
      <c r="B13" s="71" t="inlineStr"/>
      <c r="C13" s="64" t="inlineStr">
        <is>
          <t>Instagram Öne Çıkarma</t>
        </is>
      </c>
      <c r="D13" s="15">
        <f>SUMIFS('Ham Veri (Kategorili)'!$G$2:$G$763,'Ham Veri (Kategorili)'!$D$2:$D$763,"Estetik Marka",'Ham Veri (Kategorili)'!$E$2:$E$763,"Instagram Öne Çıkarma")</f>
        <v/>
      </c>
      <c r="E13" s="21">
        <f>SUMIFS('Ham Veri (Kategorili)'!$G$2:$G$763,'Ham Veri (Kategorili)'!$D$2:$D$763,"Estetik Marka",'Ham Veri (Kategorili)'!$E$2:$E$763,"Instagram Öne Çıkarma")/SUM('Ham Veri (Kategorili)'!$G$2:$G$763)</f>
        <v/>
      </c>
      <c r="F13" s="65">
        <f>SUMIFS('Ham Veri (Kategorili)'!$G$2:$G$763,'Ham Veri (Kategorili)'!$D$2:$D$763,"Estetik Marka",'Ham Veri (Kategorili)'!$E$2:$E$763,"Instagram Öne Çıkarma")/SUMIFS('Ham Veri (Kategorili)'!$G$2:$G$763,'Ham Veri (Kategorili)'!$D$2:$D$763,"Estetik Marka")</f>
        <v/>
      </c>
      <c r="G13" s="66">
        <f>(SUMIFS('Ham Veri (Kategorili)'!$G$2:$G$763,'Ham Veri (Kategorili)'!$D$2:$D$763,"Estetik Marka",'Ham Veri (Kategorili)'!$E$2:$E$763,"Instagram Öne Çıkarma")/SUM('Ham Veri (Kategorili)'!$G$2:$G$763))*$D$5</f>
        <v/>
      </c>
      <c r="H13" s="15">
        <f>G13*30</f>
        <v/>
      </c>
    </row>
    <row r="14">
      <c r="B14" s="8" t="n"/>
      <c r="C14" s="7" t="inlineStr">
        <is>
          <t>— ALT TOPLAM</t>
        </is>
      </c>
      <c r="D14" s="68">
        <f>SUM(D12:D13)</f>
        <v/>
      </c>
      <c r="E14" s="69">
        <f>SUM(E12:E13)</f>
        <v/>
      </c>
      <c r="F14" s="69">
        <f>SUM(F12:F13)</f>
        <v/>
      </c>
      <c r="G14" s="68">
        <f>SUM(G12:G13)</f>
        <v/>
      </c>
      <c r="H14" s="68">
        <f>SUM(H12:H13)</f>
        <v/>
      </c>
    </row>
    <row r="15">
      <c r="B15" s="72" t="inlineStr">
        <is>
          <t>Doktor Sayfaları</t>
        </is>
      </c>
      <c r="C15" s="64" t="inlineStr">
        <is>
          <t>Instagram Öne Çıkarma</t>
        </is>
      </c>
      <c r="D15" s="15">
        <f>SUMIFS('Ham Veri (Kategorili)'!$G$2:$G$763,'Ham Veri (Kategorili)'!$D$2:$D$763,"Doktor Sayfaları",'Ham Veri (Kategorili)'!$E$2:$E$763,"Instagram Öne Çıkarma")</f>
        <v/>
      </c>
      <c r="E15" s="73">
        <f>SUMIFS('Ham Veri (Kategorili)'!$G$2:$G$763,'Ham Veri (Kategorili)'!$D$2:$D$763,"Doktor Sayfaları",'Ham Veri (Kategorili)'!$E$2:$E$763,"Instagram Öne Çıkarma")/SUM('Ham Veri (Kategorili)'!$G$2:$G$763)</f>
        <v/>
      </c>
      <c r="F15" s="65">
        <f>SUMIFS('Ham Veri (Kategorili)'!$G$2:$G$763,'Ham Veri (Kategorili)'!$D$2:$D$763,"Doktor Sayfaları",'Ham Veri (Kategorili)'!$E$2:$E$763,"Instagram Öne Çıkarma")/SUMIFS('Ham Veri (Kategorili)'!$G$2:$G$763,'Ham Veri (Kategorili)'!$D$2:$D$763,"Doktor Sayfaları")</f>
        <v/>
      </c>
      <c r="G15" s="66">
        <f>(SUMIFS('Ham Veri (Kategorili)'!$G$2:$G$763,'Ham Veri (Kategorili)'!$D$2:$D$763,"Doktor Sayfaları",'Ham Veri (Kategorili)'!$E$2:$E$763,"Instagram Öne Çıkarma")/SUM('Ham Veri (Kategorili)'!$G$2:$G$763))*$D$5</f>
        <v/>
      </c>
      <c r="H15" s="15">
        <f>G15*30</f>
        <v/>
      </c>
    </row>
    <row r="16">
      <c r="B16" s="8" t="n"/>
      <c r="C16" s="7" t="inlineStr">
        <is>
          <t>— ALT TOPLAM</t>
        </is>
      </c>
      <c r="D16" s="68">
        <f>SUM(D15:D15)</f>
        <v/>
      </c>
      <c r="E16" s="69">
        <f>SUM(E15:E15)</f>
        <v/>
      </c>
      <c r="F16" s="69">
        <f>SUM(F15:F15)</f>
        <v/>
      </c>
      <c r="G16" s="68">
        <f>SUM(G15:G15)</f>
        <v/>
      </c>
      <c r="H16" s="68">
        <f>SUM(H15:H15)</f>
        <v/>
      </c>
    </row>
    <row r="17">
      <c r="B17" s="32" t="inlineStr">
        <is>
          <t>GENEL TOPLAM</t>
        </is>
      </c>
      <c r="C17" s="74" t="inlineStr"/>
      <c r="D17" s="33">
        <f>SUM('Ham Veri (Kategorili)'!$G$2:$G$763)</f>
        <v/>
      </c>
      <c r="E17" s="34">
        <f>SUM('Ham Veri (Kategorili)'!$G$2:$G$763)/SUM('Ham Veri (Kategorili)'!$G$2:$G$763)</f>
        <v/>
      </c>
      <c r="F17" s="74" t="inlineStr"/>
      <c r="G17" s="33">
        <f>$D$5</f>
        <v/>
      </c>
      <c r="H17" s="33">
        <f>$D$5*30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7" customWidth="1" min="3" max="3"/>
    <col width="17" customWidth="1" min="4" max="4"/>
    <col width="17" customWidth="1" min="5" max="5"/>
    <col width="4" customWidth="1" min="6" max="6"/>
    <col width="4" customWidth="1" min="7" max="7"/>
    <col width="4" customWidth="1" min="8" max="8"/>
  </cols>
  <sheetData>
    <row r="2" ht="26" customHeight="1">
      <c r="B2" s="24" t="inlineStr">
        <is>
          <t>GÜNLÜK 60.000 TL — DOKTOR ARTIŞ SENARYOLARI</t>
        </is>
      </c>
    </row>
    <row r="3">
      <c r="B3" s="53" t="inlineStr">
        <is>
          <t>Baz 60.000 TL dağılımı aynı oranlarda korunur; ek bütçe YALNIZCA doktor sayfalarına, üstüne eklenir. Diğer kalemler sabit kalır.</t>
        </is>
      </c>
    </row>
    <row r="5">
      <c r="B5" s="57" t="inlineStr">
        <is>
          <t>Baz Günlük Bütçe (TL) →</t>
        </is>
      </c>
      <c r="C5" s="62" t="n">
        <v>60000</v>
      </c>
    </row>
    <row r="6">
      <c r="B6" s="57" t="inlineStr">
        <is>
          <t>Senaryo 2 — Doktora Ek (TL) →</t>
        </is>
      </c>
      <c r="C6" s="75" t="n">
        <v>10000</v>
      </c>
    </row>
    <row r="7">
      <c r="B7" s="57" t="inlineStr">
        <is>
          <t>Senaryo 3 — Doktora Ek (TL) →</t>
        </is>
      </c>
      <c r="C7" s="75" t="n">
        <v>20000</v>
      </c>
    </row>
    <row r="9" ht="24" customHeight="1">
      <c r="B9" s="25" t="inlineStr">
        <is>
          <t>GÜNLÜK DAĞILIM (TL/gün)</t>
        </is>
      </c>
    </row>
    <row r="10">
      <c r="B10" s="13" t="inlineStr">
        <is>
          <t>Sayfa Kategorisi</t>
        </is>
      </c>
      <c r="C10" s="13" t="inlineStr">
        <is>
          <t>Senaryo 1 (Baz 60K)</t>
        </is>
      </c>
      <c r="D10" s="13" t="inlineStr">
        <is>
          <t>Senaryo 2 (+10K Doktor)</t>
        </is>
      </c>
      <c r="E10" s="13" t="inlineStr">
        <is>
          <t>Senaryo 3 (+20K Doktor)</t>
        </is>
      </c>
    </row>
    <row r="11">
      <c r="B11" s="64" t="inlineStr">
        <is>
          <t>Hastane (Kurumsal)</t>
        </is>
      </c>
      <c r="C11" s="15">
        <f>(SUMIFS('Ham Veri (Kategorili)'!$G$2:$G$763,'Ham Veri (Kategorili)'!$D$2:$D$763,"Hastane (Kurumsal)")/SUM('Ham Veri (Kategorili)'!$G$2:$G$763))*$C$5</f>
        <v/>
      </c>
      <c r="D11" s="15">
        <f>(SUMIFS('Ham Veri (Kategorili)'!$G$2:$G$763,'Ham Veri (Kategorili)'!$D$2:$D$763,"Hastane (Kurumsal)")/SUM('Ham Veri (Kategorili)'!$G$2:$G$763))*$C$5</f>
        <v/>
      </c>
      <c r="E11" s="15">
        <f>(SUMIFS('Ham Veri (Kategorili)'!$G$2:$G$763,'Ham Veri (Kategorili)'!$D$2:$D$763,"Hastane (Kurumsal)")/SUM('Ham Veri (Kategorili)'!$G$2:$G$763))*$C$5</f>
        <v/>
      </c>
    </row>
    <row r="12">
      <c r="B12" s="64" t="inlineStr">
        <is>
          <t>Estetik Marka</t>
        </is>
      </c>
      <c r="C12" s="15">
        <f>(SUMIFS('Ham Veri (Kategorili)'!$G$2:$G$763,'Ham Veri (Kategorili)'!$D$2:$D$763,"Estetik Marka")/SUM('Ham Veri (Kategorili)'!$G$2:$G$763))*$C$5</f>
        <v/>
      </c>
      <c r="D12" s="15">
        <f>(SUMIFS('Ham Veri (Kategorili)'!$G$2:$G$763,'Ham Veri (Kategorili)'!$D$2:$D$763,"Estetik Marka")/SUM('Ham Veri (Kategorili)'!$G$2:$G$763))*$C$5</f>
        <v/>
      </c>
      <c r="E12" s="15">
        <f>(SUMIFS('Ham Veri (Kategorili)'!$G$2:$G$763,'Ham Veri (Kategorili)'!$D$2:$D$763,"Estetik Marka")/SUM('Ham Veri (Kategorili)'!$G$2:$G$763))*$C$5</f>
        <v/>
      </c>
    </row>
    <row r="13">
      <c r="B13" s="76" t="inlineStr">
        <is>
          <t>Doktor Sayfaları</t>
        </is>
      </c>
      <c r="C13" s="77">
        <f>(SUMIFS('Ham Veri (Kategorili)'!$G$2:$G$763,'Ham Veri (Kategorili)'!$D$2:$D$763,"Doktor Sayfaları")/SUM('Ham Veri (Kategorili)'!$G$2:$G$763))*$C$5</f>
        <v/>
      </c>
      <c r="D13" s="77">
        <f>(SUMIFS('Ham Veri (Kategorili)'!$G$2:$G$763,'Ham Veri (Kategorili)'!$D$2:$D$763,"Doktor Sayfaları")/SUM('Ham Veri (Kategorili)'!$G$2:$G$763))*$C$5+$C$6</f>
        <v/>
      </c>
      <c r="E13" s="77">
        <f>(SUMIFS('Ham Veri (Kategorili)'!$G$2:$G$763,'Ham Veri (Kategorili)'!$D$2:$D$763,"Doktor Sayfaları")/SUM('Ham Veri (Kategorili)'!$G$2:$G$763))*$C$5+$C$7</f>
        <v/>
      </c>
    </row>
    <row r="14">
      <c r="B14" s="32" t="inlineStr">
        <is>
          <t>GÜNLÜK TOPLAM</t>
        </is>
      </c>
      <c r="C14" s="33">
        <f>SUM(C11:C13)</f>
        <v/>
      </c>
      <c r="D14" s="33">
        <f>SUM(D11:D13)</f>
        <v/>
      </c>
      <c r="E14" s="33">
        <f>SUM(E11:E13)</f>
        <v/>
      </c>
    </row>
    <row r="15">
      <c r="B15" s="78" t="inlineStr">
        <is>
          <t>→ Doktor payı (% toplam)</t>
        </is>
      </c>
      <c r="C15" s="79">
        <f>C13/C14</f>
        <v/>
      </c>
      <c r="D15" s="79">
        <f>D13/D14</f>
        <v/>
      </c>
      <c r="E15" s="79">
        <f>E13/E14</f>
        <v/>
      </c>
    </row>
    <row r="17" ht="24" customHeight="1">
      <c r="B17" s="35" t="inlineStr">
        <is>
          <t>AYLIK DAĞILIM (TL/ay = günlük × 30)</t>
        </is>
      </c>
    </row>
    <row r="18">
      <c r="B18" s="20" t="inlineStr">
        <is>
          <t>Sayfa Kategorisi</t>
        </is>
      </c>
      <c r="C18" s="20" t="inlineStr">
        <is>
          <t>Senaryo 1 (Baz 60K)</t>
        </is>
      </c>
      <c r="D18" s="20" t="inlineStr">
        <is>
          <t>Senaryo 2 (+10K Doktor)</t>
        </is>
      </c>
      <c r="E18" s="20" t="inlineStr">
        <is>
          <t>Senaryo 3 (+20K Doktor)</t>
        </is>
      </c>
    </row>
    <row r="19">
      <c r="B19" s="64" t="inlineStr">
        <is>
          <t>Hastane (Kurumsal)</t>
        </is>
      </c>
      <c r="C19" s="15">
        <f>C11*30</f>
        <v/>
      </c>
      <c r="D19" s="15">
        <f>D11*30</f>
        <v/>
      </c>
      <c r="E19" s="15">
        <f>E11*30</f>
        <v/>
      </c>
    </row>
    <row r="20">
      <c r="B20" s="64" t="inlineStr">
        <is>
          <t>Estetik Marka</t>
        </is>
      </c>
      <c r="C20" s="15">
        <f>C12*30</f>
        <v/>
      </c>
      <c r="D20" s="15">
        <f>D12*30</f>
        <v/>
      </c>
      <c r="E20" s="15">
        <f>E12*30</f>
        <v/>
      </c>
    </row>
    <row r="21">
      <c r="B21" s="76" t="inlineStr">
        <is>
          <t>Doktor Sayfaları</t>
        </is>
      </c>
      <c r="C21" s="77">
        <f>C13*30</f>
        <v/>
      </c>
      <c r="D21" s="77">
        <f>D13*30</f>
        <v/>
      </c>
      <c r="E21" s="77">
        <f>E13*30</f>
        <v/>
      </c>
    </row>
    <row r="22">
      <c r="B22" s="32" t="inlineStr">
        <is>
          <t>AYLIK TOPLAM</t>
        </is>
      </c>
      <c r="C22" s="33">
        <f>SUM(C19:C21)</f>
        <v/>
      </c>
      <c r="D22" s="33">
        <f>SUM(D19:D21)</f>
        <v/>
      </c>
      <c r="E22" s="33">
        <f>SUM(E19:E21)</f>
        <v/>
      </c>
    </row>
    <row r="24" ht="22" customHeight="1">
      <c r="B24" s="80" t="inlineStr">
        <is>
          <t>DOKTOR BAZINDA GÜNLÜK (ek, geçmiş paya göre 4 doktora bölünür)</t>
        </is>
      </c>
    </row>
    <row r="25">
      <c r="B25" s="81" t="inlineStr">
        <is>
          <t>Doktor</t>
        </is>
      </c>
      <c r="C25" s="81" t="inlineStr">
        <is>
          <t>Senaryo 1 (Baz)</t>
        </is>
      </c>
      <c r="D25" s="81" t="inlineStr">
        <is>
          <t>Senaryo 2 (+10K)</t>
        </is>
      </c>
      <c r="E25" s="81" t="inlineStr">
        <is>
          <t>Senaryo 3 (+20K)</t>
        </is>
      </c>
    </row>
    <row r="26">
      <c r="B26" s="64" t="inlineStr">
        <is>
          <t>Op.Dr. Abdullah ERTAŞ</t>
        </is>
      </c>
      <c r="C26" s="15">
        <f>(SUMIFS('Ham Veri (Kategorili)'!$G$2:$G$763,'Ham Veri (Kategorili)'!$A$2:$A$763,"Op.Dr. Abdullah ERTAŞ")/SUMIFS('Ham Veri (Kategorili)'!$G$2:$G$763,'Ham Veri (Kategorili)'!$D$2:$D$763,"Doktor Sayfaları"))*((SUMIFS('Ham Veri (Kategorili)'!$G$2:$G$763,'Ham Veri (Kategorili)'!$D$2:$D$763,"Doktor Sayfaları")/SUM('Ham Veri (Kategorili)'!$G$2:$G$763))*$C$5)</f>
        <v/>
      </c>
      <c r="D26" s="15">
        <f>(SUMIFS('Ham Veri (Kategorili)'!$G$2:$G$763,'Ham Veri (Kategorili)'!$A$2:$A$763,"Op.Dr. Abdullah ERTAŞ")/SUMIFS('Ham Veri (Kategorili)'!$G$2:$G$763,'Ham Veri (Kategorili)'!$D$2:$D$763,"Doktor Sayfaları"))*((SUMIFS('Ham Veri (Kategorili)'!$G$2:$G$763,'Ham Veri (Kategorili)'!$D$2:$D$763,"Doktor Sayfaları")/SUM('Ham Veri (Kategorili)'!$G$2:$G$763))*$C$5+$C$6)</f>
        <v/>
      </c>
      <c r="E26" s="15">
        <f>(SUMIFS('Ham Veri (Kategorili)'!$G$2:$G$763,'Ham Veri (Kategorili)'!$A$2:$A$763,"Op.Dr. Abdullah ERTAŞ")/SUMIFS('Ham Veri (Kategorili)'!$G$2:$G$763,'Ham Veri (Kategorili)'!$D$2:$D$763,"Doktor Sayfaları"))*((SUMIFS('Ham Veri (Kategorili)'!$G$2:$G$763,'Ham Veri (Kategorili)'!$D$2:$D$763,"Doktor Sayfaları")/SUM('Ham Veri (Kategorili)'!$G$2:$G$763))*$C$5+$C$7)</f>
        <v/>
      </c>
    </row>
    <row r="27">
      <c r="B27" s="64" t="inlineStr">
        <is>
          <t>Op. Dr. Emre Çaycı</t>
        </is>
      </c>
      <c r="C27" s="15">
        <f>(SUMIFS('Ham Veri (Kategorili)'!$G$2:$G$763,'Ham Veri (Kategorili)'!$A$2:$A$763,"Op. Dr. Emre Çaycı")/SUMIFS('Ham Veri (Kategorili)'!$G$2:$G$763,'Ham Veri (Kategorili)'!$D$2:$D$763,"Doktor Sayfaları"))*((SUMIFS('Ham Veri (Kategorili)'!$G$2:$G$763,'Ham Veri (Kategorili)'!$D$2:$D$763,"Doktor Sayfaları")/SUM('Ham Veri (Kategorili)'!$G$2:$G$763))*$C$5)</f>
        <v/>
      </c>
      <c r="D27" s="15">
        <f>(SUMIFS('Ham Veri (Kategorili)'!$G$2:$G$763,'Ham Veri (Kategorili)'!$A$2:$A$763,"Op. Dr. Emre Çaycı")/SUMIFS('Ham Veri (Kategorili)'!$G$2:$G$763,'Ham Veri (Kategorili)'!$D$2:$D$763,"Doktor Sayfaları"))*((SUMIFS('Ham Veri (Kategorili)'!$G$2:$G$763,'Ham Veri (Kategorili)'!$D$2:$D$763,"Doktor Sayfaları")/SUM('Ham Veri (Kategorili)'!$G$2:$G$763))*$C$5+$C$6)</f>
        <v/>
      </c>
      <c r="E27" s="15">
        <f>(SUMIFS('Ham Veri (Kategorili)'!$G$2:$G$763,'Ham Veri (Kategorili)'!$A$2:$A$763,"Op. Dr. Emre Çaycı")/SUMIFS('Ham Veri (Kategorili)'!$G$2:$G$763,'Ham Veri (Kategorili)'!$D$2:$D$763,"Doktor Sayfaları"))*((SUMIFS('Ham Veri (Kategorili)'!$G$2:$G$763,'Ham Veri (Kategorili)'!$D$2:$D$763,"Doktor Sayfaları")/SUM('Ham Veri (Kategorili)'!$G$2:$G$763))*$C$5+$C$7)</f>
        <v/>
      </c>
    </row>
    <row r="28">
      <c r="B28" s="64" t="inlineStr">
        <is>
          <t>Op.Dr. Eren Kaya</t>
        </is>
      </c>
      <c r="C28" s="15">
        <f>(SUMIFS('Ham Veri (Kategorili)'!$G$2:$G$763,'Ham Veri (Kategorili)'!$A$2:$A$763,"Op.Dr. Eren Kaya")/SUMIFS('Ham Veri (Kategorili)'!$G$2:$G$763,'Ham Veri (Kategorili)'!$D$2:$D$763,"Doktor Sayfaları"))*((SUMIFS('Ham Veri (Kategorili)'!$G$2:$G$763,'Ham Veri (Kategorili)'!$D$2:$D$763,"Doktor Sayfaları")/SUM('Ham Veri (Kategorili)'!$G$2:$G$763))*$C$5)</f>
        <v/>
      </c>
      <c r="D28" s="15">
        <f>(SUMIFS('Ham Veri (Kategorili)'!$G$2:$G$763,'Ham Veri (Kategorili)'!$A$2:$A$763,"Op.Dr. Eren Kaya")/SUMIFS('Ham Veri (Kategorili)'!$G$2:$G$763,'Ham Veri (Kategorili)'!$D$2:$D$763,"Doktor Sayfaları"))*((SUMIFS('Ham Veri (Kategorili)'!$G$2:$G$763,'Ham Veri (Kategorili)'!$D$2:$D$763,"Doktor Sayfaları")/SUM('Ham Veri (Kategorili)'!$G$2:$G$763))*$C$5+$C$6)</f>
        <v/>
      </c>
      <c r="E28" s="15">
        <f>(SUMIFS('Ham Veri (Kategorili)'!$G$2:$G$763,'Ham Veri (Kategorili)'!$A$2:$A$763,"Op.Dr. Eren Kaya")/SUMIFS('Ham Veri (Kategorili)'!$G$2:$G$763,'Ham Veri (Kategorili)'!$D$2:$D$763,"Doktor Sayfaları"))*((SUMIFS('Ham Veri (Kategorili)'!$G$2:$G$763,'Ham Veri (Kategorili)'!$D$2:$D$763,"Doktor Sayfaları")/SUM('Ham Veri (Kategorili)'!$G$2:$G$763))*$C$5+$C$7)</f>
        <v/>
      </c>
    </row>
    <row r="29">
      <c r="B29" s="64" t="inlineStr">
        <is>
          <t>Doç.Dr. Selin Aktürk Esen</t>
        </is>
      </c>
      <c r="C29" s="15">
        <f>(SUMIFS('Ham Veri (Kategorili)'!$G$2:$G$763,'Ham Veri (Kategorili)'!$A$2:$A$763,"Doç.Dr. Selin Aktürk Esen")/SUMIFS('Ham Veri (Kategorili)'!$G$2:$G$763,'Ham Veri (Kategorili)'!$D$2:$D$763,"Doktor Sayfaları"))*((SUMIFS('Ham Veri (Kategorili)'!$G$2:$G$763,'Ham Veri (Kategorili)'!$D$2:$D$763,"Doktor Sayfaları")/SUM('Ham Veri (Kategorili)'!$G$2:$G$763))*$C$5)</f>
        <v/>
      </c>
      <c r="D29" s="15">
        <f>(SUMIFS('Ham Veri (Kategorili)'!$G$2:$G$763,'Ham Veri (Kategorili)'!$A$2:$A$763,"Doç.Dr. Selin Aktürk Esen")/SUMIFS('Ham Veri (Kategorili)'!$G$2:$G$763,'Ham Veri (Kategorili)'!$D$2:$D$763,"Doktor Sayfaları"))*((SUMIFS('Ham Veri (Kategorili)'!$G$2:$G$763,'Ham Veri (Kategorili)'!$D$2:$D$763,"Doktor Sayfaları")/SUM('Ham Veri (Kategorili)'!$G$2:$G$763))*$C$5+$C$6)</f>
        <v/>
      </c>
      <c r="E29" s="15">
        <f>(SUMIFS('Ham Veri (Kategorili)'!$G$2:$G$763,'Ham Veri (Kategorili)'!$A$2:$A$763,"Doç.Dr. Selin Aktürk Esen")/SUMIFS('Ham Veri (Kategorili)'!$G$2:$G$763,'Ham Veri (Kategorili)'!$D$2:$D$763,"Doktor Sayfaları"))*((SUMIFS('Ham Veri (Kategorili)'!$G$2:$G$763,'Ham Veri (Kategorili)'!$D$2:$D$763,"Doktor Sayfaları")/SUM('Ham Veri (Kategorili)'!$G$2:$G$763))*$C$5+$C$7)</f>
        <v/>
      </c>
    </row>
    <row r="30">
      <c r="B30" s="32" t="inlineStr">
        <is>
          <t>DOKTOR TOPLAM</t>
        </is>
      </c>
      <c r="C30" s="33">
        <f>SUM(C26:C29)</f>
        <v/>
      </c>
      <c r="D30" s="33">
        <f>SUM(D26:D29)</f>
        <v/>
      </c>
      <c r="E30" s="33">
        <f>SUM(E26:E29)</f>
        <v/>
      </c>
    </row>
    <row r="32">
      <c r="B32" s="82" t="inlineStr">
        <is>
          <t>Not: Senaryo 1 = 60.000 TL'nin geçmiş oranlarla dağılımı (doktor payı ≈ %6,2).</t>
        </is>
      </c>
    </row>
    <row r="33">
      <c r="B33" s="82" t="inlineStr">
        <is>
          <t>Senaryo 2 = Senaryo 1 + doktora ek 10.000 TL → günlük toplam 70.000 TL.</t>
        </is>
      </c>
    </row>
    <row r="34">
      <c r="B34" s="82" t="inlineStr">
        <is>
          <t>Senaryo 3 = Senaryo 1 + doktora ek 20.000 TL → günlük toplam 80.000 TL.</t>
        </is>
      </c>
    </row>
    <row r="35">
      <c r="B35" s="82" t="inlineStr">
        <is>
          <t>Hastane ve Estetik kalemleri üç senaryoda da sabittir; yalnızca doktor bütçesi artar.</t>
        </is>
      </c>
    </row>
    <row r="36">
      <c r="B36" s="82" t="inlineStr">
        <is>
          <t>Sarı hücreleri (baz bütçe / ek tutarlar) değiştirerek kendi senaryolarınızı üretebilirsiniz.</t>
        </is>
      </c>
    </row>
  </sheetData>
  <mergeCells count="10">
    <mergeCell ref="B17:E17"/>
    <mergeCell ref="B9:E9"/>
    <mergeCell ref="B35:E35"/>
    <mergeCell ref="B34:E34"/>
    <mergeCell ref="B33:E33"/>
    <mergeCell ref="B3:E3"/>
    <mergeCell ref="B2:E2"/>
    <mergeCell ref="B24:E24"/>
    <mergeCell ref="B36:E36"/>
    <mergeCell ref="B32:E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20" customWidth="1" min="4" max="4"/>
    <col width="24" customWidth="1" min="5" max="5"/>
    <col width="30" customWidth="1" min="6" max="6"/>
    <col width="14" customWidth="1" min="7" max="7"/>
    <col width="26" customWidth="1" min="8" max="8"/>
    <col width="9" customWidth="1" min="9" max="9"/>
    <col width="11" customWidth="1" min="10" max="10"/>
    <col width="12" customWidth="1" min="11" max="11"/>
  </cols>
  <sheetData>
    <row r="1">
      <c r="A1" s="39" t="inlineStr">
        <is>
          <t>Sayfa Adı</t>
        </is>
      </c>
      <c r="B1" s="39" t="inlineStr">
        <is>
          <t>Kampanya Adı</t>
        </is>
      </c>
      <c r="C1" s="39" t="inlineStr">
        <is>
          <t>Gün</t>
        </is>
      </c>
      <c r="D1" s="39" t="inlineStr">
        <is>
          <t>Ana Kategori</t>
        </is>
      </c>
      <c r="E1" s="39" t="inlineStr">
        <is>
          <t>Kampanya Amacı</t>
        </is>
      </c>
      <c r="F1" s="39" t="inlineStr">
        <is>
          <t>Alt Kategori</t>
        </is>
      </c>
      <c r="G1" s="39" t="inlineStr">
        <is>
          <t>Harcama (TL)</t>
        </is>
      </c>
      <c r="H1" s="39" t="inlineStr">
        <is>
          <t>Sonuç Türü</t>
        </is>
      </c>
      <c r="I1" s="39" t="inlineStr">
        <is>
          <t>Sonuç</t>
        </is>
      </c>
      <c r="J1" s="39" t="inlineStr">
        <is>
          <t>Erişim</t>
        </is>
      </c>
      <c r="K1" s="39" t="inlineStr">
        <is>
          <t>Gösterim</t>
        </is>
      </c>
    </row>
    <row r="2">
      <c r="A2" s="43" t="inlineStr">
        <is>
          <t>Op. Dr. Emre Çaycı</t>
        </is>
      </c>
      <c r="B2" s="43" t="inlineStr">
        <is>
          <t>Instagram gönderisi: 👨‍⚕️ Jinekomasti Ameliyatı...</t>
        </is>
      </c>
      <c r="C2" s="46" t="inlineStr">
        <is>
          <t>2026-07-13</t>
        </is>
      </c>
      <c r="D2" s="43" t="inlineStr">
        <is>
          <t>Doktor Sayfaları</t>
        </is>
      </c>
      <c r="E2" s="43" t="inlineStr">
        <is>
          <t>Instagram Öne Çıkarma</t>
        </is>
      </c>
      <c r="F2" s="43" t="inlineStr">
        <is>
          <t>Öne Çıkarma - Doktor</t>
        </is>
      </c>
      <c r="G2" s="83" t="n">
        <v>1542.27</v>
      </c>
      <c r="H2" s="43" t="inlineStr">
        <is>
          <t>Instagram profili ziyaretleri</t>
        </is>
      </c>
      <c r="I2" s="46" t="n">
        <v>1438</v>
      </c>
      <c r="J2" s="46" t="n">
        <v>42542</v>
      </c>
      <c r="K2" s="46" t="n">
        <v>46881</v>
      </c>
    </row>
    <row r="3">
      <c r="A3" s="47" t="inlineStr">
        <is>
          <t>Op. Dr. Emre Çaycı</t>
        </is>
      </c>
      <c r="B3" s="47" t="inlineStr">
        <is>
          <t>Instagram gönderisi: 👨‍⚕️ Jinekomasti Ameliyatı...</t>
        </is>
      </c>
      <c r="C3" s="50" t="inlineStr">
        <is>
          <t>2026-07-08</t>
        </is>
      </c>
      <c r="D3" s="47" t="inlineStr">
        <is>
          <t>Doktor Sayfaları</t>
        </is>
      </c>
      <c r="E3" s="47" t="inlineStr">
        <is>
          <t>Instagram Öne Çıkarma</t>
        </is>
      </c>
      <c r="F3" s="47" t="inlineStr">
        <is>
          <t>Öne Çıkarma - Doktor</t>
        </is>
      </c>
      <c r="G3" s="84" t="n">
        <v>1281.84</v>
      </c>
      <c r="H3" s="47" t="inlineStr">
        <is>
          <t>Instagram profili ziyaretleri</t>
        </is>
      </c>
      <c r="I3" s="50" t="n">
        <v>1138</v>
      </c>
      <c r="J3" s="50" t="n">
        <v>29182</v>
      </c>
      <c r="K3" s="50" t="n">
        <v>31027</v>
      </c>
    </row>
    <row r="4">
      <c r="A4" s="43" t="inlineStr">
        <is>
          <t>Op. Dr. Emre Çaycı</t>
        </is>
      </c>
      <c r="B4" s="43" t="inlineStr">
        <is>
          <t>Instagram gönderisi: 👨‍⚕️ Jinekomasti Ameliyatı...</t>
        </is>
      </c>
      <c r="C4" s="46" t="inlineStr">
        <is>
          <t>2026-07-10</t>
        </is>
      </c>
      <c r="D4" s="43" t="inlineStr">
        <is>
          <t>Doktor Sayfaları</t>
        </is>
      </c>
      <c r="E4" s="43" t="inlineStr">
        <is>
          <t>Instagram Öne Çıkarma</t>
        </is>
      </c>
      <c r="F4" s="43" t="inlineStr">
        <is>
          <t>Öne Çıkarma - Doktor</t>
        </is>
      </c>
      <c r="G4" s="83" t="n">
        <v>1281.69</v>
      </c>
      <c r="H4" s="43" t="inlineStr">
        <is>
          <t>Instagram profili ziyaretleri</t>
        </is>
      </c>
      <c r="I4" s="46" t="n">
        <v>1232</v>
      </c>
      <c r="J4" s="46" t="n">
        <v>37113</v>
      </c>
      <c r="K4" s="46" t="n">
        <v>38662</v>
      </c>
    </row>
    <row r="5">
      <c r="A5" s="47" t="inlineStr">
        <is>
          <t>Op. Dr. Emre Çaycı</t>
        </is>
      </c>
      <c r="B5" s="47" t="inlineStr">
        <is>
          <t>Instagram gönderisi: 💪 Jinekomastide Spor Yeterli...</t>
        </is>
      </c>
      <c r="C5" s="50" t="inlineStr">
        <is>
          <t>2026-06-26</t>
        </is>
      </c>
      <c r="D5" s="47" t="inlineStr">
        <is>
          <t>Doktor Sayfaları</t>
        </is>
      </c>
      <c r="E5" s="47" t="inlineStr">
        <is>
          <t>Instagram Öne Çıkarma</t>
        </is>
      </c>
      <c r="F5" s="47" t="inlineStr">
        <is>
          <t>Öne Çıkarma - Doktor</t>
        </is>
      </c>
      <c r="G5" s="84" t="n">
        <v>1265.61</v>
      </c>
      <c r="H5" s="47" t="inlineStr">
        <is>
          <t>Instagram profili ziyaretleri</t>
        </is>
      </c>
      <c r="I5" s="50" t="n">
        <v>188</v>
      </c>
      <c r="J5" s="50" t="n">
        <v>9385</v>
      </c>
      <c r="K5" s="50" t="n">
        <v>9903</v>
      </c>
    </row>
    <row r="6">
      <c r="A6" s="43" t="inlineStr">
        <is>
          <t>Op. Dr. Emre Çaycı</t>
        </is>
      </c>
      <c r="B6" s="43" t="inlineStr">
        <is>
          <t>Instagram gönderisi: 💪 Yağlanma mı, Jinekomasti...</t>
        </is>
      </c>
      <c r="C6" s="46" t="inlineStr">
        <is>
          <t>2026-06-26</t>
        </is>
      </c>
      <c r="D6" s="43" t="inlineStr">
        <is>
          <t>Doktor Sayfaları</t>
        </is>
      </c>
      <c r="E6" s="43" t="inlineStr">
        <is>
          <t>Instagram Öne Çıkarma</t>
        </is>
      </c>
      <c r="F6" s="43" t="inlineStr">
        <is>
          <t>Öne Çıkarma - Doktor</t>
        </is>
      </c>
      <c r="G6" s="83" t="n">
        <v>1258.54</v>
      </c>
      <c r="H6" s="43" t="inlineStr">
        <is>
          <t>Instagram profili ziyaretleri</t>
        </is>
      </c>
      <c r="I6" s="46" t="n">
        <v>245</v>
      </c>
      <c r="J6" s="46" t="n">
        <v>14364</v>
      </c>
      <c r="K6" s="46" t="n">
        <v>15303</v>
      </c>
    </row>
    <row r="7">
      <c r="A7" s="47" t="inlineStr">
        <is>
          <t>Op.Dr. Eren Kaya</t>
        </is>
      </c>
      <c r="B7" s="47" t="inlineStr">
        <is>
          <t>Instagram gönderisi: “Erken gebelikte kanama...</t>
        </is>
      </c>
      <c r="C7" s="50" t="inlineStr">
        <is>
          <t>2026-06-26</t>
        </is>
      </c>
      <c r="D7" s="47" t="inlineStr">
        <is>
          <t>Doktor Sayfaları</t>
        </is>
      </c>
      <c r="E7" s="47" t="inlineStr">
        <is>
          <t>Instagram Öne Çıkarma</t>
        </is>
      </c>
      <c r="F7" s="47" t="inlineStr">
        <is>
          <t>Öne Çıkarma - Doktor</t>
        </is>
      </c>
      <c r="G7" s="84" t="n">
        <v>1258.31</v>
      </c>
      <c r="H7" s="47" t="inlineStr">
        <is>
          <t>Instagram profili ziyaretleri</t>
        </is>
      </c>
      <c r="I7" s="50" t="n">
        <v>318</v>
      </c>
      <c r="J7" s="50" t="n">
        <v>15657</v>
      </c>
      <c r="K7" s="50" t="n">
        <v>18009</v>
      </c>
    </row>
    <row r="8">
      <c r="A8" s="43" t="inlineStr">
        <is>
          <t>Op.Dr. Abdullah ERTAŞ</t>
        </is>
      </c>
      <c r="B8" s="43" t="inlineStr">
        <is>
          <t>Instagram gönderisi: 🦴 Omurga Kanal Darlığı...</t>
        </is>
      </c>
      <c r="C8" s="46" t="inlineStr">
        <is>
          <t>2026-06-26</t>
        </is>
      </c>
      <c r="D8" s="43" t="inlineStr">
        <is>
          <t>Doktor Sayfaları</t>
        </is>
      </c>
      <c r="E8" s="43" t="inlineStr">
        <is>
          <t>Instagram Öne Çıkarma</t>
        </is>
      </c>
      <c r="F8" s="43" t="inlineStr">
        <is>
          <t>Öne Çıkarma - Doktor</t>
        </is>
      </c>
      <c r="G8" s="83" t="n">
        <v>1253.68</v>
      </c>
      <c r="H8" s="43" t="inlineStr">
        <is>
          <t>Instagram profili ziyaretleri</t>
        </is>
      </c>
      <c r="I8" s="46" t="n">
        <v>269</v>
      </c>
      <c r="J8" s="46" t="n">
        <v>12192</v>
      </c>
      <c r="K8" s="46" t="n">
        <v>12862</v>
      </c>
    </row>
    <row r="9">
      <c r="A9" s="47" t="inlineStr">
        <is>
          <t>Op.Dr. Eren Kaya</t>
        </is>
      </c>
      <c r="B9" s="47" t="inlineStr">
        <is>
          <t>Instagram gönderisi: “Rahim alınacaksa...</t>
        </is>
      </c>
      <c r="C9" s="50" t="inlineStr">
        <is>
          <t>2026-06-26</t>
        </is>
      </c>
      <c r="D9" s="47" t="inlineStr">
        <is>
          <t>Doktor Sayfaları</t>
        </is>
      </c>
      <c r="E9" s="47" t="inlineStr">
        <is>
          <t>Instagram Öne Çıkarma</t>
        </is>
      </c>
      <c r="F9" s="47" t="inlineStr">
        <is>
          <t>Öne Çıkarma - Doktor</t>
        </is>
      </c>
      <c r="G9" s="84" t="n">
        <v>1250.66</v>
      </c>
      <c r="H9" s="47" t="inlineStr">
        <is>
          <t>Instagram profili ziyaretleri</t>
        </is>
      </c>
      <c r="I9" s="50" t="n">
        <v>331</v>
      </c>
      <c r="J9" s="50" t="n">
        <v>14113</v>
      </c>
      <c r="K9" s="50" t="n">
        <v>15031</v>
      </c>
    </row>
    <row r="10">
      <c r="A10" s="43" t="inlineStr">
        <is>
          <t>Op.Dr. Abdullah ERTAŞ</t>
        </is>
      </c>
      <c r="B10" s="43" t="inlineStr">
        <is>
          <t>Instagram gönderisi: 🧠 Baş Ağrısı İlk Belirti...</t>
        </is>
      </c>
      <c r="C10" s="46" t="inlineStr">
        <is>
          <t>2026-06-26</t>
        </is>
      </c>
      <c r="D10" s="43" t="inlineStr">
        <is>
          <t>Doktor Sayfaları</t>
        </is>
      </c>
      <c r="E10" s="43" t="inlineStr">
        <is>
          <t>Instagram Öne Çıkarma</t>
        </is>
      </c>
      <c r="F10" s="43" t="inlineStr">
        <is>
          <t>Öne Çıkarma - Doktor</t>
        </is>
      </c>
      <c r="G10" s="83" t="n">
        <v>1240.71</v>
      </c>
      <c r="H10" s="43" t="inlineStr">
        <is>
          <t>Instagram profili ziyaretleri</t>
        </is>
      </c>
      <c r="I10" s="46" t="n">
        <v>148</v>
      </c>
      <c r="J10" s="46" t="n">
        <v>12412</v>
      </c>
      <c r="K10" s="46" t="n">
        <v>12747</v>
      </c>
    </row>
    <row r="11">
      <c r="A11" s="47" t="inlineStr">
        <is>
          <t>Doç.Dr. Selin Aktürk Esen</t>
        </is>
      </c>
      <c r="B11" s="47" t="inlineStr">
        <is>
          <t>Instagram gönderisi: 🌡️ Kemoterapi Alan...</t>
        </is>
      </c>
      <c r="C11" s="50" t="inlineStr">
        <is>
          <t>2026-06-26</t>
        </is>
      </c>
      <c r="D11" s="47" t="inlineStr">
        <is>
          <t>Doktor Sayfaları</t>
        </is>
      </c>
      <c r="E11" s="47" t="inlineStr">
        <is>
          <t>Instagram Öne Çıkarma</t>
        </is>
      </c>
      <c r="F11" s="47" t="inlineStr">
        <is>
          <t>Öne Çıkarma - Doktor</t>
        </is>
      </c>
      <c r="G11" s="84" t="n">
        <v>1232.5</v>
      </c>
      <c r="H11" s="47" t="inlineStr">
        <is>
          <t>Instagram profili ziyaretleri</t>
        </is>
      </c>
      <c r="I11" s="50" t="n">
        <v>216</v>
      </c>
      <c r="J11" s="50" t="n">
        <v>9065</v>
      </c>
      <c r="K11" s="50" t="n">
        <v>9520</v>
      </c>
    </row>
    <row r="12">
      <c r="A12" s="43" t="inlineStr">
        <is>
          <t>Op.Dr. Abdullah ERTAŞ</t>
        </is>
      </c>
      <c r="B12" s="43" t="inlineStr">
        <is>
          <t>Instagram gönderisi: 🦴 Kuyruk Sokumu Ağrısı Neden...</t>
        </is>
      </c>
      <c r="C12" s="46" t="inlineStr">
        <is>
          <t>2026-07-01</t>
        </is>
      </c>
      <c r="D12" s="43" t="inlineStr">
        <is>
          <t>Doktor Sayfaları</t>
        </is>
      </c>
      <c r="E12" s="43" t="inlineStr">
        <is>
          <t>Instagram Öne Çıkarma</t>
        </is>
      </c>
      <c r="F12" s="43" t="inlineStr">
        <is>
          <t>Öne Çıkarma - Doktor</t>
        </is>
      </c>
      <c r="G12" s="83" t="n">
        <v>1098.92</v>
      </c>
      <c r="H12" s="43" t="inlineStr">
        <is>
          <t>Instagram profili ziyaretleri</t>
        </is>
      </c>
      <c r="I12" s="46" t="n">
        <v>282</v>
      </c>
      <c r="J12" s="46" t="n">
        <v>14549</v>
      </c>
      <c r="K12" s="46" t="n">
        <v>15929</v>
      </c>
    </row>
    <row r="13">
      <c r="A13" s="47" t="inlineStr">
        <is>
          <t>Op.Dr. Abdullah ERTAŞ</t>
        </is>
      </c>
      <c r="B13" s="47" t="inlineStr">
        <is>
          <t>Instagram gönderisi: 🧠 MR Raporunda Her Yazan...</t>
        </is>
      </c>
      <c r="C13" s="50" t="inlineStr">
        <is>
          <t>2026-07-04</t>
        </is>
      </c>
      <c r="D13" s="47" t="inlineStr">
        <is>
          <t>Doktor Sayfaları</t>
        </is>
      </c>
      <c r="E13" s="47" t="inlineStr">
        <is>
          <t>Instagram Öne Çıkarma</t>
        </is>
      </c>
      <c r="F13" s="47" t="inlineStr">
        <is>
          <t>Öne Çıkarma - Doktor</t>
        </is>
      </c>
      <c r="G13" s="84" t="n">
        <v>1081.29</v>
      </c>
      <c r="H13" s="47" t="inlineStr">
        <is>
          <t>Instagram profili ziyaretleri</t>
        </is>
      </c>
      <c r="I13" s="50" t="n">
        <v>304</v>
      </c>
      <c r="J13" s="50" t="n">
        <v>12301</v>
      </c>
      <c r="K13" s="50" t="n">
        <v>13827</v>
      </c>
    </row>
    <row r="14">
      <c r="A14" s="43" t="inlineStr">
        <is>
          <t>Doç.Dr. Selin Aktürk Esen</t>
        </is>
      </c>
      <c r="B14" s="43" t="inlineStr">
        <is>
          <t>Instagram gönderisi: 🧬 Kanser Hastalarında Test...</t>
        </is>
      </c>
      <c r="C14" s="46" t="inlineStr">
        <is>
          <t>2026-07-04</t>
        </is>
      </c>
      <c r="D14" s="43" t="inlineStr">
        <is>
          <t>Doktor Sayfaları</t>
        </is>
      </c>
      <c r="E14" s="43" t="inlineStr">
        <is>
          <t>Instagram Öne Çıkarma</t>
        </is>
      </c>
      <c r="F14" s="43" t="inlineStr">
        <is>
          <t>Öne Çıkarma - Doktor</t>
        </is>
      </c>
      <c r="G14" s="83" t="n">
        <v>1067.37</v>
      </c>
      <c r="H14" s="43" t="inlineStr">
        <is>
          <t>Instagram profili ziyaretleri</t>
        </is>
      </c>
      <c r="I14" s="46" t="n">
        <v>263</v>
      </c>
      <c r="J14" s="46" t="n">
        <v>10808</v>
      </c>
      <c r="K14" s="46" t="n">
        <v>11429</v>
      </c>
    </row>
    <row r="15">
      <c r="A15" s="47" t="inlineStr">
        <is>
          <t>Op.Dr. Abdullah ERTAŞ</t>
        </is>
      </c>
      <c r="B15" s="47" t="inlineStr">
        <is>
          <t>Instagram gönderisi: 🦴 Kuyruk Sokumu Ağrısı Neden...</t>
        </is>
      </c>
      <c r="C15" s="50" t="inlineStr">
        <is>
          <t>2026-07-04</t>
        </is>
      </c>
      <c r="D15" s="47" t="inlineStr">
        <is>
          <t>Doktor Sayfaları</t>
        </is>
      </c>
      <c r="E15" s="47" t="inlineStr">
        <is>
          <t>Instagram Öne Çıkarma</t>
        </is>
      </c>
      <c r="F15" s="47" t="inlineStr">
        <is>
          <t>Öne Çıkarma - Doktor</t>
        </is>
      </c>
      <c r="G15" s="84" t="n">
        <v>1045.61</v>
      </c>
      <c r="H15" s="47" t="inlineStr">
        <is>
          <t>Instagram profili ziyaretleri</t>
        </is>
      </c>
      <c r="I15" s="50" t="n">
        <v>258</v>
      </c>
      <c r="J15" s="50" t="n">
        <v>18027</v>
      </c>
      <c r="K15" s="50" t="n">
        <v>19463</v>
      </c>
    </row>
    <row r="16">
      <c r="A16" s="43" t="inlineStr">
        <is>
          <t>Doç.Dr. Selin Aktürk Esen</t>
        </is>
      </c>
      <c r="B16" s="43" t="inlineStr">
        <is>
          <t>Instagram gönderisi: 🧬 Kanser Hastalarında Test...</t>
        </is>
      </c>
      <c r="C16" s="46" t="inlineStr">
        <is>
          <t>2026-07-01</t>
        </is>
      </c>
      <c r="D16" s="43" t="inlineStr">
        <is>
          <t>Doktor Sayfaları</t>
        </is>
      </c>
      <c r="E16" s="43" t="inlineStr">
        <is>
          <t>Instagram Öne Çıkarma</t>
        </is>
      </c>
      <c r="F16" s="43" t="inlineStr">
        <is>
          <t>Öne Çıkarma - Doktor</t>
        </is>
      </c>
      <c r="G16" s="83" t="n">
        <v>1023.21</v>
      </c>
      <c r="H16" s="43" t="inlineStr">
        <is>
          <t>Instagram profili ziyaretleri</t>
        </is>
      </c>
      <c r="I16" s="46" t="n">
        <v>300</v>
      </c>
      <c r="J16" s="46" t="n">
        <v>9020</v>
      </c>
      <c r="K16" s="46" t="n">
        <v>9982</v>
      </c>
    </row>
    <row r="17">
      <c r="A17" s="47" t="inlineStr">
        <is>
          <t>Op.Dr. Eren Kaya</t>
        </is>
      </c>
      <c r="B17" s="47" t="inlineStr">
        <is>
          <t>Instagram gönderisi: ✅Gebelikte uyku pozisyonu...</t>
        </is>
      </c>
      <c r="C17" s="50" t="inlineStr">
        <is>
          <t>2026-07-01</t>
        </is>
      </c>
      <c r="D17" s="47" t="inlineStr">
        <is>
          <t>Doktor Sayfaları</t>
        </is>
      </c>
      <c r="E17" s="47" t="inlineStr">
        <is>
          <t>Instagram Öne Çıkarma</t>
        </is>
      </c>
      <c r="F17" s="47" t="inlineStr">
        <is>
          <t>Öne Çıkarma - Doktor</t>
        </is>
      </c>
      <c r="G17" s="84" t="n">
        <v>1016.84</v>
      </c>
      <c r="H17" s="47" t="inlineStr">
        <is>
          <t>Instagram profili ziyaretleri</t>
        </is>
      </c>
      <c r="I17" s="50" t="n">
        <v>1048</v>
      </c>
      <c r="J17" s="50" t="n">
        <v>17811</v>
      </c>
      <c r="K17" s="50" t="n">
        <v>21415</v>
      </c>
    </row>
    <row r="18">
      <c r="A18" s="43" t="inlineStr">
        <is>
          <t>Op. Dr. Emre Çaycı</t>
        </is>
      </c>
      <c r="B18" s="43" t="inlineStr">
        <is>
          <t>Instagram gönderisi: 👨‍⚕️ Jinekomasti Ameliyatı...</t>
        </is>
      </c>
      <c r="C18" s="46" t="inlineStr">
        <is>
          <t>2026-06-30</t>
        </is>
      </c>
      <c r="D18" s="43" t="inlineStr">
        <is>
          <t>Doktor Sayfaları</t>
        </is>
      </c>
      <c r="E18" s="43" t="inlineStr">
        <is>
          <t>Instagram Öne Çıkarma</t>
        </is>
      </c>
      <c r="F18" s="43" t="inlineStr">
        <is>
          <t>Öne Çıkarma - Doktor</t>
        </is>
      </c>
      <c r="G18" s="83" t="n">
        <v>1008.13</v>
      </c>
      <c r="H18" s="43" t="inlineStr">
        <is>
          <t>Instagram profili ziyaretleri</t>
        </is>
      </c>
      <c r="I18" s="46" t="n">
        <v>820</v>
      </c>
      <c r="J18" s="46" t="n">
        <v>13221</v>
      </c>
      <c r="K18" s="46" t="n">
        <v>14435</v>
      </c>
    </row>
    <row r="19">
      <c r="A19" s="47" t="inlineStr">
        <is>
          <t>Op.Dr. Eren Kaya</t>
        </is>
      </c>
      <c r="B19" s="47" t="inlineStr">
        <is>
          <t>Instagram gönderisi: “Rahim alınacaksa...</t>
        </is>
      </c>
      <c r="C19" s="50" t="inlineStr">
        <is>
          <t>2026-06-23</t>
        </is>
      </c>
      <c r="D19" s="47" t="inlineStr">
        <is>
          <t>Doktor Sayfaları</t>
        </is>
      </c>
      <c r="E19" s="47" t="inlineStr">
        <is>
          <t>Instagram Öne Çıkarma</t>
        </is>
      </c>
      <c r="F19" s="47" t="inlineStr">
        <is>
          <t>Öne Çıkarma - Doktor</t>
        </is>
      </c>
      <c r="G19" s="84" t="n">
        <v>1007.8</v>
      </c>
      <c r="H19" s="47" t="inlineStr">
        <is>
          <t>Instagram profili ziyaretleri</t>
        </is>
      </c>
      <c r="I19" s="50" t="n">
        <v>361</v>
      </c>
      <c r="J19" s="50" t="n">
        <v>11403</v>
      </c>
      <c r="K19" s="50" t="n">
        <v>12587</v>
      </c>
    </row>
    <row r="20">
      <c r="A20" s="43" t="inlineStr">
        <is>
          <t>Op.Dr. Abdullah ERTAŞ</t>
        </is>
      </c>
      <c r="B20" s="43" t="inlineStr">
        <is>
          <t>Instagram gönderisi: 🧠 MR Raporunda Her Yazan...</t>
        </is>
      </c>
      <c r="C20" s="46" t="inlineStr">
        <is>
          <t>2026-07-01</t>
        </is>
      </c>
      <c r="D20" s="43" t="inlineStr">
        <is>
          <t>Doktor Sayfaları</t>
        </is>
      </c>
      <c r="E20" s="43" t="inlineStr">
        <is>
          <t>Instagram Öne Çıkarma</t>
        </is>
      </c>
      <c r="F20" s="43" t="inlineStr">
        <is>
          <t>Öne Çıkarma - Doktor</t>
        </is>
      </c>
      <c r="G20" s="83" t="n">
        <v>999.9299999999999</v>
      </c>
      <c r="H20" s="43" t="inlineStr">
        <is>
          <t>Instagram profili ziyaretleri</t>
        </is>
      </c>
      <c r="I20" s="46" t="n">
        <v>357</v>
      </c>
      <c r="J20" s="46" t="n">
        <v>11221</v>
      </c>
      <c r="K20" s="46" t="n">
        <v>12344</v>
      </c>
    </row>
    <row r="21">
      <c r="A21" s="47" t="inlineStr">
        <is>
          <t>Op.Dr. Eren Kaya</t>
        </is>
      </c>
      <c r="B21" s="47" t="inlineStr">
        <is>
          <t>Instagram gönderisi: ✅Gebelikte uyku pozisyonu...</t>
        </is>
      </c>
      <c r="C21" s="50" t="inlineStr">
        <is>
          <t>2026-07-04</t>
        </is>
      </c>
      <c r="D21" s="47" t="inlineStr">
        <is>
          <t>Doktor Sayfaları</t>
        </is>
      </c>
      <c r="E21" s="47" t="inlineStr">
        <is>
          <t>Instagram Öne Çıkarma</t>
        </is>
      </c>
      <c r="F21" s="47" t="inlineStr">
        <is>
          <t>Öne Çıkarma - Doktor</t>
        </is>
      </c>
      <c r="G21" s="84" t="n">
        <v>997.9</v>
      </c>
      <c r="H21" s="47" t="inlineStr">
        <is>
          <t>Instagram profili ziyaretleri</t>
        </is>
      </c>
      <c r="I21" s="50" t="n">
        <v>819</v>
      </c>
      <c r="J21" s="50" t="n">
        <v>21530</v>
      </c>
      <c r="K21" s="50" t="n">
        <v>23187</v>
      </c>
    </row>
    <row r="22">
      <c r="A22" s="43" t="inlineStr">
        <is>
          <t>Op. Dr. Emre Çaycı</t>
        </is>
      </c>
      <c r="B22" s="43" t="inlineStr">
        <is>
          <t>Instagram gönderisi: 💪 Yağlanma mı, Jinekomasti...</t>
        </is>
      </c>
      <c r="C22" s="46" t="inlineStr">
        <is>
          <t>2026-06-23</t>
        </is>
      </c>
      <c r="D22" s="43" t="inlineStr">
        <is>
          <t>Doktor Sayfaları</t>
        </is>
      </c>
      <c r="E22" s="43" t="inlineStr">
        <is>
          <t>Instagram Öne Çıkarma</t>
        </is>
      </c>
      <c r="F22" s="43" t="inlineStr">
        <is>
          <t>Öne Çıkarma - Doktor</t>
        </is>
      </c>
      <c r="G22" s="83" t="n">
        <v>990.72</v>
      </c>
      <c r="H22" s="43" t="inlineStr">
        <is>
          <t>Instagram profili ziyaretleri</t>
        </is>
      </c>
      <c r="I22" s="46" t="n">
        <v>290</v>
      </c>
      <c r="J22" s="46" t="n">
        <v>11750</v>
      </c>
      <c r="K22" s="46" t="n">
        <v>13096</v>
      </c>
    </row>
    <row r="23">
      <c r="A23" s="47" t="inlineStr">
        <is>
          <t>Op.Dr. Abdullah ERTAŞ</t>
        </is>
      </c>
      <c r="B23" s="47" t="inlineStr">
        <is>
          <t>Instagram gönderisi: 🦴 Omurga Kanal Darlığı...</t>
        </is>
      </c>
      <c r="C23" s="50" t="inlineStr">
        <is>
          <t>2026-06-23</t>
        </is>
      </c>
      <c r="D23" s="47" t="inlineStr">
        <is>
          <t>Doktor Sayfaları</t>
        </is>
      </c>
      <c r="E23" s="47" t="inlineStr">
        <is>
          <t>Instagram Öne Çıkarma</t>
        </is>
      </c>
      <c r="F23" s="47" t="inlineStr">
        <is>
          <t>Öne Çıkarma - Doktor</t>
        </is>
      </c>
      <c r="G23" s="84" t="n">
        <v>985.4</v>
      </c>
      <c r="H23" s="47" t="inlineStr">
        <is>
          <t>Instagram profili ziyaretleri</t>
        </is>
      </c>
      <c r="I23" s="50" t="n">
        <v>320</v>
      </c>
      <c r="J23" s="50" t="n">
        <v>9099</v>
      </c>
      <c r="K23" s="50" t="n">
        <v>10432</v>
      </c>
    </row>
    <row r="24">
      <c r="A24" s="43" t="inlineStr">
        <is>
          <t>Op.Dr. Abdullah ERTAŞ</t>
        </is>
      </c>
      <c r="B24" s="43" t="inlineStr">
        <is>
          <t>Instagram gönderisi: 🧠 MR Raporunda Her Yazan...</t>
        </is>
      </c>
      <c r="C24" s="46" t="inlineStr">
        <is>
          <t>2026-07-03</t>
        </is>
      </c>
      <c r="D24" s="43" t="inlineStr">
        <is>
          <t>Doktor Sayfaları</t>
        </is>
      </c>
      <c r="E24" s="43" t="inlineStr">
        <is>
          <t>Instagram Öne Çıkarma</t>
        </is>
      </c>
      <c r="F24" s="43" t="inlineStr">
        <is>
          <t>Öne Çıkarma - Doktor</t>
        </is>
      </c>
      <c r="G24" s="83" t="n">
        <v>982.49</v>
      </c>
      <c r="H24" s="43" t="inlineStr">
        <is>
          <t>Instagram profili ziyaretleri</t>
        </is>
      </c>
      <c r="I24" s="46" t="n">
        <v>273</v>
      </c>
      <c r="J24" s="46" t="n">
        <v>10640</v>
      </c>
      <c r="K24" s="46" t="n">
        <v>12005</v>
      </c>
    </row>
    <row r="25">
      <c r="A25" s="47" t="inlineStr">
        <is>
          <t>Op.Dr. Abdullah ERTAŞ</t>
        </is>
      </c>
      <c r="B25" s="47" t="inlineStr">
        <is>
          <t>Instagram gönderisi: 🧠 Baş Ağrısı İlk Belirti...</t>
        </is>
      </c>
      <c r="C25" s="50" t="inlineStr">
        <is>
          <t>2026-06-23</t>
        </is>
      </c>
      <c r="D25" s="47" t="inlineStr">
        <is>
          <t>Doktor Sayfaları</t>
        </is>
      </c>
      <c r="E25" s="47" t="inlineStr">
        <is>
          <t>Instagram Öne Çıkarma</t>
        </is>
      </c>
      <c r="F25" s="47" t="inlineStr">
        <is>
          <t>Öne Çıkarma - Doktor</t>
        </is>
      </c>
      <c r="G25" s="84" t="n">
        <v>981.91</v>
      </c>
      <c r="H25" s="47" t="inlineStr">
        <is>
          <t>Instagram profili ziyaretleri</t>
        </is>
      </c>
      <c r="I25" s="50" t="n">
        <v>270</v>
      </c>
      <c r="J25" s="50" t="n">
        <v>11361</v>
      </c>
      <c r="K25" s="50" t="n">
        <v>12645</v>
      </c>
    </row>
    <row r="26">
      <c r="A26" s="43" t="inlineStr">
        <is>
          <t>Op.Dr. Eren Kaya</t>
        </is>
      </c>
      <c r="B26" s="43" t="inlineStr">
        <is>
          <t>Instagram gönderisi: “Erken gebelikte kanama...</t>
        </is>
      </c>
      <c r="C26" s="46" t="inlineStr">
        <is>
          <t>2026-06-23</t>
        </is>
      </c>
      <c r="D26" s="43" t="inlineStr">
        <is>
          <t>Doktor Sayfaları</t>
        </is>
      </c>
      <c r="E26" s="43" t="inlineStr">
        <is>
          <t>Instagram Öne Çıkarma</t>
        </is>
      </c>
      <c r="F26" s="43" t="inlineStr">
        <is>
          <t>Öne Çıkarma - Doktor</t>
        </is>
      </c>
      <c r="G26" s="83" t="n">
        <v>974.65</v>
      </c>
      <c r="H26" s="43" t="inlineStr">
        <is>
          <t>Instagram profili ziyaretleri</t>
        </is>
      </c>
      <c r="I26" s="46" t="n">
        <v>334</v>
      </c>
      <c r="J26" s="46" t="n">
        <v>13783</v>
      </c>
      <c r="K26" s="46" t="n">
        <v>15661</v>
      </c>
    </row>
    <row r="27">
      <c r="A27" s="47" t="inlineStr">
        <is>
          <t>Op. Dr. Emre Çaycı</t>
        </is>
      </c>
      <c r="B27" s="47" t="inlineStr">
        <is>
          <t>Instagram gönderisi: 👨‍⚕️ Jinekomasti Ameliyatı...</t>
        </is>
      </c>
      <c r="C27" s="50" t="inlineStr">
        <is>
          <t>2026-07-04</t>
        </is>
      </c>
      <c r="D27" s="47" t="inlineStr">
        <is>
          <t>Doktor Sayfaları</t>
        </is>
      </c>
      <c r="E27" s="47" t="inlineStr">
        <is>
          <t>Instagram Öne Çıkarma</t>
        </is>
      </c>
      <c r="F27" s="47" t="inlineStr">
        <is>
          <t>Öne Çıkarma - Doktor</t>
        </is>
      </c>
      <c r="G27" s="84" t="n">
        <v>970.61</v>
      </c>
      <c r="H27" s="47" t="inlineStr">
        <is>
          <t>Instagram profili ziyaretleri</t>
        </is>
      </c>
      <c r="I27" s="50" t="n">
        <v>967</v>
      </c>
      <c r="J27" s="50" t="n">
        <v>23508</v>
      </c>
      <c r="K27" s="50" t="n">
        <v>23957</v>
      </c>
    </row>
    <row r="28">
      <c r="A28" s="43" t="inlineStr">
        <is>
          <t>Doç.Dr. Selin Aktürk Esen</t>
        </is>
      </c>
      <c r="B28" s="43" t="inlineStr">
        <is>
          <t>Instagram gönderisi: 🧬 Kanser Hastalarında Test...</t>
        </is>
      </c>
      <c r="C28" s="46" t="inlineStr">
        <is>
          <t>2026-07-03</t>
        </is>
      </c>
      <c r="D28" s="43" t="inlineStr">
        <is>
          <t>Doktor Sayfaları</t>
        </is>
      </c>
      <c r="E28" s="43" t="inlineStr">
        <is>
          <t>Instagram Öne Çıkarma</t>
        </is>
      </c>
      <c r="F28" s="43" t="inlineStr">
        <is>
          <t>Öne Çıkarma - Doktor</t>
        </is>
      </c>
      <c r="G28" s="83" t="n">
        <v>966.46</v>
      </c>
      <c r="H28" s="43" t="inlineStr">
        <is>
          <t>Instagram profili ziyaretleri</t>
        </is>
      </c>
      <c r="I28" s="46" t="n">
        <v>290</v>
      </c>
      <c r="J28" s="46" t="n">
        <v>7079</v>
      </c>
      <c r="K28" s="46" t="n">
        <v>7728</v>
      </c>
    </row>
    <row r="29">
      <c r="A29" s="47" t="inlineStr">
        <is>
          <t>Op. Dr. Emre Çaycı</t>
        </is>
      </c>
      <c r="B29" s="47" t="inlineStr">
        <is>
          <t>Instagram gönderisi: 💪 Jinekomastide Spor Yeterli...</t>
        </is>
      </c>
      <c r="C29" s="50" t="inlineStr">
        <is>
          <t>2026-06-23</t>
        </is>
      </c>
      <c r="D29" s="47" t="inlineStr">
        <is>
          <t>Doktor Sayfaları</t>
        </is>
      </c>
      <c r="E29" s="47" t="inlineStr">
        <is>
          <t>Instagram Öne Çıkarma</t>
        </is>
      </c>
      <c r="F29" s="47" t="inlineStr">
        <is>
          <t>Öne Çıkarma - Doktor</t>
        </is>
      </c>
      <c r="G29" s="84" t="n">
        <v>966.13</v>
      </c>
      <c r="H29" s="47" t="inlineStr">
        <is>
          <t>Instagram profili ziyaretleri</t>
        </is>
      </c>
      <c r="I29" s="50" t="n">
        <v>214</v>
      </c>
      <c r="J29" s="50" t="n">
        <v>7329</v>
      </c>
      <c r="K29" s="50" t="n">
        <v>7931</v>
      </c>
    </row>
    <row r="30">
      <c r="A30" s="43" t="inlineStr">
        <is>
          <t>Doç.Dr. Selin Aktürk Esen</t>
        </is>
      </c>
      <c r="B30" s="43" t="inlineStr">
        <is>
          <t>Instagram gönderisi: 🌡️ Kemoterapi Alan...</t>
        </is>
      </c>
      <c r="C30" s="46" t="inlineStr">
        <is>
          <t>2026-06-23</t>
        </is>
      </c>
      <c r="D30" s="43" t="inlineStr">
        <is>
          <t>Doktor Sayfaları</t>
        </is>
      </c>
      <c r="E30" s="43" t="inlineStr">
        <is>
          <t>Instagram Öne Çıkarma</t>
        </is>
      </c>
      <c r="F30" s="43" t="inlineStr">
        <is>
          <t>Öne Çıkarma - Doktor</t>
        </is>
      </c>
      <c r="G30" s="83" t="n">
        <v>962.33</v>
      </c>
      <c r="H30" s="43" t="inlineStr">
        <is>
          <t>Instagram profili ziyaretleri</t>
        </is>
      </c>
      <c r="I30" s="46" t="n">
        <v>268</v>
      </c>
      <c r="J30" s="46" t="n">
        <v>6823</v>
      </c>
      <c r="K30" s="46" t="n">
        <v>7705</v>
      </c>
    </row>
    <row r="31">
      <c r="A31" s="47" t="inlineStr">
        <is>
          <t>Op.Dr. Eren Kaya</t>
        </is>
      </c>
      <c r="B31" s="47" t="inlineStr">
        <is>
          <t>Instagram gönderisi: ✅Gebelikte uyku pozisyonu...</t>
        </is>
      </c>
      <c r="C31" s="50" t="inlineStr">
        <is>
          <t>2026-07-02</t>
        </is>
      </c>
      <c r="D31" s="47" t="inlineStr">
        <is>
          <t>Doktor Sayfaları</t>
        </is>
      </c>
      <c r="E31" s="47" t="inlineStr">
        <is>
          <t>Instagram Öne Çıkarma</t>
        </is>
      </c>
      <c r="F31" s="47" t="inlineStr">
        <is>
          <t>Öne Çıkarma - Doktor</t>
        </is>
      </c>
      <c r="G31" s="84" t="n">
        <v>936.2</v>
      </c>
      <c r="H31" s="47" t="inlineStr">
        <is>
          <t>Instagram profili ziyaretleri</t>
        </is>
      </c>
      <c r="I31" s="50" t="n">
        <v>960</v>
      </c>
      <c r="J31" s="50" t="n">
        <v>18341</v>
      </c>
      <c r="K31" s="50" t="n">
        <v>21405</v>
      </c>
    </row>
    <row r="32">
      <c r="A32" s="43" t="inlineStr">
        <is>
          <t>Op.Dr. Abdullah ERTAŞ</t>
        </is>
      </c>
      <c r="B32" s="43" t="inlineStr">
        <is>
          <t>Instagram gönderisi: 🦴 Kuyruk Sokumu Ağrısı Neden...</t>
        </is>
      </c>
      <c r="C32" s="46" t="inlineStr">
        <is>
          <t>2026-07-03</t>
        </is>
      </c>
      <c r="D32" s="43" t="inlineStr">
        <is>
          <t>Doktor Sayfaları</t>
        </is>
      </c>
      <c r="E32" s="43" t="inlineStr">
        <is>
          <t>Instagram Öne Çıkarma</t>
        </is>
      </c>
      <c r="F32" s="43" t="inlineStr">
        <is>
          <t>Öne Çıkarma - Doktor</t>
        </is>
      </c>
      <c r="G32" s="83" t="n">
        <v>935.28</v>
      </c>
      <c r="H32" s="43" t="inlineStr">
        <is>
          <t>Instagram profili ziyaretleri</t>
        </is>
      </c>
      <c r="I32" s="46" t="n">
        <v>288</v>
      </c>
      <c r="J32" s="46" t="n">
        <v>16811</v>
      </c>
      <c r="K32" s="46" t="n">
        <v>18298</v>
      </c>
    </row>
    <row r="33">
      <c r="A33" s="47" t="inlineStr">
        <is>
          <t>Op. Dr. Emre Çaycı</t>
        </is>
      </c>
      <c r="B33" s="47" t="inlineStr">
        <is>
          <t>Instagram gönderisi: 👨‍⚕️ Jinekomasti Ameliyatı...</t>
        </is>
      </c>
      <c r="C33" s="50" t="inlineStr">
        <is>
          <t>2026-07-03</t>
        </is>
      </c>
      <c r="D33" s="47" t="inlineStr">
        <is>
          <t>Doktor Sayfaları</t>
        </is>
      </c>
      <c r="E33" s="47" t="inlineStr">
        <is>
          <t>Instagram Öne Çıkarma</t>
        </is>
      </c>
      <c r="F33" s="47" t="inlineStr">
        <is>
          <t>Öne Çıkarma - Doktor</t>
        </is>
      </c>
      <c r="G33" s="84" t="n">
        <v>923.48</v>
      </c>
      <c r="H33" s="47" t="inlineStr">
        <is>
          <t>Instagram profili ziyaretleri</t>
        </is>
      </c>
      <c r="I33" s="50" t="n">
        <v>965</v>
      </c>
      <c r="J33" s="50" t="n">
        <v>19373</v>
      </c>
      <c r="K33" s="50" t="n">
        <v>22365</v>
      </c>
    </row>
    <row r="34">
      <c r="A34" s="43" t="inlineStr">
        <is>
          <t>Op.Dr. Eren Kaya</t>
        </is>
      </c>
      <c r="B34" s="43" t="inlineStr">
        <is>
          <t>Instagram gönderisi: ✅Gebelikte uyku pozisyonu...</t>
        </is>
      </c>
      <c r="C34" s="46" t="inlineStr">
        <is>
          <t>2026-07-03</t>
        </is>
      </c>
      <c r="D34" s="43" t="inlineStr">
        <is>
          <t>Doktor Sayfaları</t>
        </is>
      </c>
      <c r="E34" s="43" t="inlineStr">
        <is>
          <t>Instagram Öne Çıkarma</t>
        </is>
      </c>
      <c r="F34" s="43" t="inlineStr">
        <is>
          <t>Öne Çıkarma - Doktor</t>
        </is>
      </c>
      <c r="G34" s="83" t="n">
        <v>921.85</v>
      </c>
      <c r="H34" s="43" t="inlineStr">
        <is>
          <t>Instagram profili ziyaretleri</t>
        </is>
      </c>
      <c r="I34" s="46" t="n">
        <v>946</v>
      </c>
      <c r="J34" s="46" t="n">
        <v>20086</v>
      </c>
      <c r="K34" s="46" t="n">
        <v>22117</v>
      </c>
    </row>
    <row r="35">
      <c r="A35" s="47" t="inlineStr">
        <is>
          <t>Op. Dr. Emre Çaycı</t>
        </is>
      </c>
      <c r="B35" s="47" t="inlineStr">
        <is>
          <t>Instagram gönderisi: 👨‍⚕️ Jinekomasti Ameliyatı...</t>
        </is>
      </c>
      <c r="C35" s="50" t="inlineStr">
        <is>
          <t>2026-07-01</t>
        </is>
      </c>
      <c r="D35" s="47" t="inlineStr">
        <is>
          <t>Doktor Sayfaları</t>
        </is>
      </c>
      <c r="E35" s="47" t="inlineStr">
        <is>
          <t>Instagram Öne Çıkarma</t>
        </is>
      </c>
      <c r="F35" s="47" t="inlineStr">
        <is>
          <t>Öne Çıkarma - Doktor</t>
        </is>
      </c>
      <c r="G35" s="84" t="n">
        <v>907.36</v>
      </c>
      <c r="H35" s="47" t="inlineStr">
        <is>
          <t>Instagram profili ziyaretleri</t>
        </is>
      </c>
      <c r="I35" s="50" t="n">
        <v>838</v>
      </c>
      <c r="J35" s="50" t="n">
        <v>14891</v>
      </c>
      <c r="K35" s="50" t="n">
        <v>16012</v>
      </c>
    </row>
    <row r="36">
      <c r="A36" s="43" t="inlineStr">
        <is>
          <t>Op.Dr. Abdullah ERTAŞ</t>
        </is>
      </c>
      <c r="B36" s="43" t="inlineStr">
        <is>
          <t>Instagram gönderisi: 🦴 Kuyruk Sokumu Ağrısı Neden...</t>
        </is>
      </c>
      <c r="C36" s="46" t="inlineStr">
        <is>
          <t>2026-07-02</t>
        </is>
      </c>
      <c r="D36" s="43" t="inlineStr">
        <is>
          <t>Doktor Sayfaları</t>
        </is>
      </c>
      <c r="E36" s="43" t="inlineStr">
        <is>
          <t>Instagram Öne Çıkarma</t>
        </is>
      </c>
      <c r="F36" s="43" t="inlineStr">
        <is>
          <t>Öne Çıkarma - Doktor</t>
        </is>
      </c>
      <c r="G36" s="83" t="n">
        <v>891.63</v>
      </c>
      <c r="H36" s="43" t="inlineStr">
        <is>
          <t>Instagram profili ziyaretleri</t>
        </is>
      </c>
      <c r="I36" s="46" t="n">
        <v>300</v>
      </c>
      <c r="J36" s="46" t="n">
        <v>15253</v>
      </c>
      <c r="K36" s="46" t="n">
        <v>17044</v>
      </c>
    </row>
    <row r="37">
      <c r="A37" s="47" t="inlineStr">
        <is>
          <t>Doç.Dr. Selin Aktürk Esen</t>
        </is>
      </c>
      <c r="B37" s="47" t="inlineStr">
        <is>
          <t>Instagram gönderisi: 🧬 Kanser Hastalarında Test...</t>
        </is>
      </c>
      <c r="C37" s="50" t="inlineStr">
        <is>
          <t>2026-07-02</t>
        </is>
      </c>
      <c r="D37" s="47" t="inlineStr">
        <is>
          <t>Doktor Sayfaları</t>
        </is>
      </c>
      <c r="E37" s="47" t="inlineStr">
        <is>
          <t>Instagram Öne Çıkarma</t>
        </is>
      </c>
      <c r="F37" s="47" t="inlineStr">
        <is>
          <t>Öne Çıkarma - Doktor</t>
        </is>
      </c>
      <c r="G37" s="84" t="n">
        <v>883.2</v>
      </c>
      <c r="H37" s="47" t="inlineStr">
        <is>
          <t>Instagram profili ziyaretleri</t>
        </is>
      </c>
      <c r="I37" s="50" t="n">
        <v>353</v>
      </c>
      <c r="J37" s="50" t="n">
        <v>7631</v>
      </c>
      <c r="K37" s="50" t="n">
        <v>8463</v>
      </c>
    </row>
    <row r="38">
      <c r="A38" s="43" t="inlineStr">
        <is>
          <t>Op.Dr. Abdullah ERTAŞ</t>
        </is>
      </c>
      <c r="B38" s="43" t="inlineStr">
        <is>
          <t>Instagram gönderisi: 🧠 MR Raporunda Her Yazan...</t>
        </is>
      </c>
      <c r="C38" s="46" t="inlineStr">
        <is>
          <t>2026-07-02</t>
        </is>
      </c>
      <c r="D38" s="43" t="inlineStr">
        <is>
          <t>Doktor Sayfaları</t>
        </is>
      </c>
      <c r="E38" s="43" t="inlineStr">
        <is>
          <t>Instagram Öne Çıkarma</t>
        </is>
      </c>
      <c r="F38" s="43" t="inlineStr">
        <is>
          <t>Öne Çıkarma - Doktor</t>
        </is>
      </c>
      <c r="G38" s="83" t="n">
        <v>875.4299999999999</v>
      </c>
      <c r="H38" s="43" t="inlineStr">
        <is>
          <t>Instagram profili ziyaretleri</t>
        </is>
      </c>
      <c r="I38" s="46" t="n">
        <v>311</v>
      </c>
      <c r="J38" s="46" t="n">
        <v>10771</v>
      </c>
      <c r="K38" s="46" t="n">
        <v>12021</v>
      </c>
    </row>
    <row r="39">
      <c r="A39" s="47" t="inlineStr">
        <is>
          <t>Op. Dr. Emre Çaycı</t>
        </is>
      </c>
      <c r="B39" s="47" t="inlineStr">
        <is>
          <t>Instagram gönderisi: 👨‍⚕️ Jinekomasti Ameliyatı...</t>
        </is>
      </c>
      <c r="C39" s="50" t="inlineStr">
        <is>
          <t>2026-07-02</t>
        </is>
      </c>
      <c r="D39" s="47" t="inlineStr">
        <is>
          <t>Doktor Sayfaları</t>
        </is>
      </c>
      <c r="E39" s="47" t="inlineStr">
        <is>
          <t>Instagram Öne Çıkarma</t>
        </is>
      </c>
      <c r="F39" s="47" t="inlineStr">
        <is>
          <t>Öne Çıkarma - Doktor</t>
        </is>
      </c>
      <c r="G39" s="84" t="n">
        <v>846.3</v>
      </c>
      <c r="H39" s="47" t="inlineStr">
        <is>
          <t>Instagram profili ziyaretleri</t>
        </is>
      </c>
      <c r="I39" s="50" t="n">
        <v>811</v>
      </c>
      <c r="J39" s="50" t="n">
        <v>16214</v>
      </c>
      <c r="K39" s="50" t="n">
        <v>17653</v>
      </c>
    </row>
    <row r="40">
      <c r="A40" s="43" t="inlineStr">
        <is>
          <t>Op.Dr. Abdullah ERTAŞ</t>
        </is>
      </c>
      <c r="B40" s="43" t="inlineStr">
        <is>
          <t>Instagram gönderisi: 🦴 Kuyruk Sokumu Ağrısı Neden...</t>
        </is>
      </c>
      <c r="C40" s="46" t="inlineStr">
        <is>
          <t>2026-06-30</t>
        </is>
      </c>
      <c r="D40" s="43" t="inlineStr">
        <is>
          <t>Doktor Sayfaları</t>
        </is>
      </c>
      <c r="E40" s="43" t="inlineStr">
        <is>
          <t>Instagram Öne Çıkarma</t>
        </is>
      </c>
      <c r="F40" s="43" t="inlineStr">
        <is>
          <t>Öne Çıkarma - Doktor</t>
        </is>
      </c>
      <c r="G40" s="83" t="n">
        <v>844.29</v>
      </c>
      <c r="H40" s="43" t="inlineStr">
        <is>
          <t>Instagram profili ziyaretleri</t>
        </is>
      </c>
      <c r="I40" s="46" t="n">
        <v>211</v>
      </c>
      <c r="J40" s="46" t="n">
        <v>8234</v>
      </c>
      <c r="K40" s="46" t="n">
        <v>8970</v>
      </c>
    </row>
    <row r="41">
      <c r="A41" s="47" t="inlineStr">
        <is>
          <t>Op.Dr. Eren Kaya</t>
        </is>
      </c>
      <c r="B41" s="47" t="inlineStr">
        <is>
          <t>Instagram gönderisi: ✅Gebelikte uyku pozisyonu...</t>
        </is>
      </c>
      <c r="C41" s="50" t="inlineStr">
        <is>
          <t>2026-06-30</t>
        </is>
      </c>
      <c r="D41" s="47" t="inlineStr">
        <is>
          <t>Doktor Sayfaları</t>
        </is>
      </c>
      <c r="E41" s="47" t="inlineStr">
        <is>
          <t>Instagram Öne Çıkarma</t>
        </is>
      </c>
      <c r="F41" s="47" t="inlineStr">
        <is>
          <t>Öne Çıkarma - Doktor</t>
        </is>
      </c>
      <c r="G41" s="84" t="n">
        <v>829.86</v>
      </c>
      <c r="H41" s="47" t="inlineStr">
        <is>
          <t>Instagram profili ziyaretleri</t>
        </is>
      </c>
      <c r="I41" s="50" t="n">
        <v>658</v>
      </c>
      <c r="J41" s="50" t="n">
        <v>10866</v>
      </c>
      <c r="K41" s="50" t="n">
        <v>12508</v>
      </c>
    </row>
    <row r="42">
      <c r="A42" s="43" t="inlineStr">
        <is>
          <t>Op.Dr. Abdullah ERTAŞ</t>
        </is>
      </c>
      <c r="B42" s="43" t="inlineStr">
        <is>
          <t>Instagram gönderisi: 🧠 MR Raporunda Her Yazan...</t>
        </is>
      </c>
      <c r="C42" s="46" t="inlineStr">
        <is>
          <t>2026-06-30</t>
        </is>
      </c>
      <c r="D42" s="43" t="inlineStr">
        <is>
          <t>Doktor Sayfaları</t>
        </is>
      </c>
      <c r="E42" s="43" t="inlineStr">
        <is>
          <t>Instagram Öne Çıkarma</t>
        </is>
      </c>
      <c r="F42" s="43" t="inlineStr">
        <is>
          <t>Öne Çıkarma - Doktor</t>
        </is>
      </c>
      <c r="G42" s="83" t="n">
        <v>825.95</v>
      </c>
      <c r="H42" s="43" t="inlineStr">
        <is>
          <t>Instagram profili ziyaretleri</t>
        </is>
      </c>
      <c r="I42" s="46" t="n">
        <v>288</v>
      </c>
      <c r="J42" s="46" t="n">
        <v>7627</v>
      </c>
      <c r="K42" s="46" t="n">
        <v>8586</v>
      </c>
    </row>
    <row r="43">
      <c r="A43" s="47" t="inlineStr">
        <is>
          <t>Doç.Dr. Selin Aktürk Esen</t>
        </is>
      </c>
      <c r="B43" s="47" t="inlineStr">
        <is>
          <t>Instagram gönderisi: 🧬 Kanser Hastalarında Test...</t>
        </is>
      </c>
      <c r="C43" s="50" t="inlineStr">
        <is>
          <t>2026-06-30</t>
        </is>
      </c>
      <c r="D43" s="47" t="inlineStr">
        <is>
          <t>Doktor Sayfaları</t>
        </is>
      </c>
      <c r="E43" s="47" t="inlineStr">
        <is>
          <t>Instagram Öne Çıkarma</t>
        </is>
      </c>
      <c r="F43" s="47" t="inlineStr">
        <is>
          <t>Öne Çıkarma - Doktor</t>
        </is>
      </c>
      <c r="G43" s="84" t="n">
        <v>782.34</v>
      </c>
      <c r="H43" s="47" t="inlineStr">
        <is>
          <t>Instagram profili ziyaretleri</t>
        </is>
      </c>
      <c r="I43" s="50" t="n">
        <v>273</v>
      </c>
      <c r="J43" s="50" t="n">
        <v>5665</v>
      </c>
      <c r="K43" s="50" t="n">
        <v>6363</v>
      </c>
    </row>
    <row r="44">
      <c r="A44" s="43" t="inlineStr">
        <is>
          <t>Op. Dr. Emre Çaycı</t>
        </is>
      </c>
      <c r="B44" s="43" t="inlineStr">
        <is>
          <t>Instagram gönderisi: 👨‍⚕️ Jinekomasti Ameliyatı...</t>
        </is>
      </c>
      <c r="C44" s="46" t="inlineStr">
        <is>
          <t>2026-07-09</t>
        </is>
      </c>
      <c r="D44" s="43" t="inlineStr">
        <is>
          <t>Doktor Sayfaları</t>
        </is>
      </c>
      <c r="E44" s="43" t="inlineStr">
        <is>
          <t>Instagram Öne Çıkarma</t>
        </is>
      </c>
      <c r="F44" s="43" t="inlineStr">
        <is>
          <t>Öne Çıkarma - Doktor</t>
        </is>
      </c>
      <c r="G44" s="83" t="n">
        <v>769.12</v>
      </c>
      <c r="H44" s="43" t="inlineStr">
        <is>
          <t>Instagram profili ziyaretleri</t>
        </is>
      </c>
      <c r="I44" s="46" t="n">
        <v>742</v>
      </c>
      <c r="J44" s="46" t="n">
        <v>18332</v>
      </c>
      <c r="K44" s="46" t="n">
        <v>19421</v>
      </c>
    </row>
    <row r="45">
      <c r="A45" s="47" t="inlineStr">
        <is>
          <t>Op.Dr. Eren Kaya</t>
        </is>
      </c>
      <c r="B45" s="47" t="inlineStr">
        <is>
          <t>Instagram gönderisi: “Rahim alınacaksa...</t>
        </is>
      </c>
      <c r="C45" s="50" t="inlineStr">
        <is>
          <t>2026-06-24</t>
        </is>
      </c>
      <c r="D45" s="47" t="inlineStr">
        <is>
          <t>Doktor Sayfaları</t>
        </is>
      </c>
      <c r="E45" s="47" t="inlineStr">
        <is>
          <t>Instagram Öne Çıkarma</t>
        </is>
      </c>
      <c r="F45" s="47" t="inlineStr">
        <is>
          <t>Öne Çıkarma - Doktor</t>
        </is>
      </c>
      <c r="G45" s="84" t="n">
        <v>763.14</v>
      </c>
      <c r="H45" s="47" t="inlineStr">
        <is>
          <t>Instagram profili ziyaretleri</t>
        </is>
      </c>
      <c r="I45" s="50" t="n">
        <v>233</v>
      </c>
      <c r="J45" s="50" t="n">
        <v>8830</v>
      </c>
      <c r="K45" s="50" t="n">
        <v>9179</v>
      </c>
    </row>
    <row r="46">
      <c r="A46" s="43" t="inlineStr">
        <is>
          <t>Op.Dr. Abdullah ERTAŞ</t>
        </is>
      </c>
      <c r="B46" s="43" t="inlineStr">
        <is>
          <t>Instagram gönderisi: 🦴 Omurga Kanal Darlığı...</t>
        </is>
      </c>
      <c r="C46" s="46" t="inlineStr">
        <is>
          <t>2026-06-24</t>
        </is>
      </c>
      <c r="D46" s="43" t="inlineStr">
        <is>
          <t>Doktor Sayfaları</t>
        </is>
      </c>
      <c r="E46" s="43" t="inlineStr">
        <is>
          <t>Instagram Öne Çıkarma</t>
        </is>
      </c>
      <c r="F46" s="43" t="inlineStr">
        <is>
          <t>Öne Çıkarma - Doktor</t>
        </is>
      </c>
      <c r="G46" s="83" t="n">
        <v>758.59</v>
      </c>
      <c r="H46" s="43" t="inlineStr">
        <is>
          <t>Instagram profili ziyaretleri</t>
        </is>
      </c>
      <c r="I46" s="46" t="n">
        <v>207</v>
      </c>
      <c r="J46" s="46" t="n">
        <v>7213</v>
      </c>
      <c r="K46" s="46" t="n">
        <v>7912</v>
      </c>
    </row>
    <row r="47">
      <c r="A47" s="47" t="inlineStr">
        <is>
          <t>Op. Dr. Emre Çaycı</t>
        </is>
      </c>
      <c r="B47" s="47" t="inlineStr">
        <is>
          <t>Instagram gönderisi: 💪 Yağlanma mı, Jinekomasti...</t>
        </is>
      </c>
      <c r="C47" s="50" t="inlineStr">
        <is>
          <t>2026-06-24</t>
        </is>
      </c>
      <c r="D47" s="47" t="inlineStr">
        <is>
          <t>Doktor Sayfaları</t>
        </is>
      </c>
      <c r="E47" s="47" t="inlineStr">
        <is>
          <t>Instagram Öne Çıkarma</t>
        </is>
      </c>
      <c r="F47" s="47" t="inlineStr">
        <is>
          <t>Öne Çıkarma - Doktor</t>
        </is>
      </c>
      <c r="G47" s="84" t="n">
        <v>743.7</v>
      </c>
      <c r="H47" s="47" t="inlineStr">
        <is>
          <t>Instagram profili ziyaretleri</t>
        </is>
      </c>
      <c r="I47" s="50" t="n">
        <v>196</v>
      </c>
      <c r="J47" s="50" t="n">
        <v>8875</v>
      </c>
      <c r="K47" s="50" t="n">
        <v>9510</v>
      </c>
    </row>
    <row r="48">
      <c r="A48" s="43" t="inlineStr">
        <is>
          <t>Op. Dr. Emre Çaycı</t>
        </is>
      </c>
      <c r="B48" s="43" t="inlineStr">
        <is>
          <t>Instagram gönderisi: 💪 Jinekomastide Spor Yeterli...</t>
        </is>
      </c>
      <c r="C48" s="46" t="inlineStr">
        <is>
          <t>2026-06-24</t>
        </is>
      </c>
      <c r="D48" s="43" t="inlineStr">
        <is>
          <t>Doktor Sayfaları</t>
        </is>
      </c>
      <c r="E48" s="43" t="inlineStr">
        <is>
          <t>Instagram Öne Çıkarma</t>
        </is>
      </c>
      <c r="F48" s="43" t="inlineStr">
        <is>
          <t>Öne Çıkarma - Doktor</t>
        </is>
      </c>
      <c r="G48" s="83" t="n">
        <v>736.09</v>
      </c>
      <c r="H48" s="43" t="inlineStr">
        <is>
          <t>Instagram profili ziyaretleri</t>
        </is>
      </c>
      <c r="I48" s="46" t="n">
        <v>120</v>
      </c>
      <c r="J48" s="46" t="n">
        <v>5902</v>
      </c>
      <c r="K48" s="46" t="n">
        <v>6202</v>
      </c>
    </row>
    <row r="49">
      <c r="A49" s="47" t="inlineStr">
        <is>
          <t>Op. Dr. Emre Çaycı</t>
        </is>
      </c>
      <c r="B49" s="47" t="inlineStr">
        <is>
          <t>Instagram gönderisi: 👨‍⚕️ Jinekomasti Ameliyatı...</t>
        </is>
      </c>
      <c r="C49" s="50" t="inlineStr">
        <is>
          <t>2026-06-29</t>
        </is>
      </c>
      <c r="D49" s="47" t="inlineStr">
        <is>
          <t>Doktor Sayfaları</t>
        </is>
      </c>
      <c r="E49" s="47" t="inlineStr">
        <is>
          <t>Instagram Öne Çıkarma</t>
        </is>
      </c>
      <c r="F49" s="47" t="inlineStr">
        <is>
          <t>Öne Çıkarma - Doktor</t>
        </is>
      </c>
      <c r="G49" s="84" t="n">
        <v>725.6799999999999</v>
      </c>
      <c r="H49" s="47" t="inlineStr">
        <is>
          <t>Instagram profili ziyaretleri</t>
        </is>
      </c>
      <c r="I49" s="50" t="n">
        <v>550</v>
      </c>
      <c r="J49" s="50" t="n">
        <v>8101</v>
      </c>
      <c r="K49" s="50" t="n">
        <v>8984</v>
      </c>
    </row>
    <row r="50">
      <c r="A50" s="43" t="inlineStr">
        <is>
          <t>Op.Dr. Abdullah ERTAŞ</t>
        </is>
      </c>
      <c r="B50" s="43" t="inlineStr">
        <is>
          <t>Instagram gönderisi: 🦴 Kuyruk Sokumu Ağrısı Neden...</t>
        </is>
      </c>
      <c r="C50" s="46" t="inlineStr">
        <is>
          <t>2026-07-06</t>
        </is>
      </c>
      <c r="D50" s="43" t="inlineStr">
        <is>
          <t>Doktor Sayfaları</t>
        </is>
      </c>
      <c r="E50" s="43" t="inlineStr">
        <is>
          <t>Instagram Öne Çıkarma</t>
        </is>
      </c>
      <c r="F50" s="43" t="inlineStr">
        <is>
          <t>Öne Çıkarma - Doktor</t>
        </is>
      </c>
      <c r="G50" s="83" t="n">
        <v>707.21</v>
      </c>
      <c r="H50" s="43" t="inlineStr">
        <is>
          <t>Instagram profili ziyaretleri</t>
        </is>
      </c>
      <c r="I50" s="46" t="n">
        <v>174</v>
      </c>
      <c r="J50" s="46" t="n">
        <v>15541</v>
      </c>
      <c r="K50" s="46" t="n">
        <v>15541</v>
      </c>
    </row>
    <row r="51">
      <c r="A51" s="47" t="inlineStr">
        <is>
          <t>Op.Dr. Abdullah ERTAŞ</t>
        </is>
      </c>
      <c r="B51" s="47" t="inlineStr">
        <is>
          <t>Instagram gönderisi: 🧠 Baş Ağrısı İlk Belirti...</t>
        </is>
      </c>
      <c r="C51" s="50" t="inlineStr">
        <is>
          <t>2026-06-24</t>
        </is>
      </c>
      <c r="D51" s="47" t="inlineStr">
        <is>
          <t>Doktor Sayfaları</t>
        </is>
      </c>
      <c r="E51" s="47" t="inlineStr">
        <is>
          <t>Instagram Öne Çıkarma</t>
        </is>
      </c>
      <c r="F51" s="47" t="inlineStr">
        <is>
          <t>Öne Çıkarma - Doktor</t>
        </is>
      </c>
      <c r="G51" s="84" t="n">
        <v>691.39</v>
      </c>
      <c r="H51" s="47" t="inlineStr">
        <is>
          <t>Instagram profili ziyaretleri</t>
        </is>
      </c>
      <c r="I51" s="50" t="n">
        <v>143</v>
      </c>
      <c r="J51" s="50" t="n">
        <v>7004</v>
      </c>
      <c r="K51" s="50" t="n">
        <v>7367</v>
      </c>
    </row>
    <row r="52">
      <c r="A52" s="43" t="inlineStr">
        <is>
          <t>Op.Dr. Eren Kaya</t>
        </is>
      </c>
      <c r="B52" s="43" t="inlineStr">
        <is>
          <t>Instagram gönderisi: ✅Gebelikte uyku pozisyonu...</t>
        </is>
      </c>
      <c r="C52" s="46" t="inlineStr">
        <is>
          <t>2026-06-29</t>
        </is>
      </c>
      <c r="D52" s="43" t="inlineStr">
        <is>
          <t>Doktor Sayfaları</t>
        </is>
      </c>
      <c r="E52" s="43" t="inlineStr">
        <is>
          <t>Instagram Öne Çıkarma</t>
        </is>
      </c>
      <c r="F52" s="43" t="inlineStr">
        <is>
          <t>Öne Çıkarma - Doktor</t>
        </is>
      </c>
      <c r="G52" s="83" t="n">
        <v>680.98</v>
      </c>
      <c r="H52" s="43" t="inlineStr">
        <is>
          <t>Instagram profili ziyaretleri</t>
        </is>
      </c>
      <c r="I52" s="46" t="n">
        <v>470</v>
      </c>
      <c r="J52" s="46" t="n">
        <v>9048</v>
      </c>
      <c r="K52" s="46" t="n">
        <v>9942</v>
      </c>
    </row>
    <row r="53">
      <c r="A53" s="47" t="inlineStr">
        <is>
          <t>Doç.Dr. Selin Aktürk Esen</t>
        </is>
      </c>
      <c r="B53" s="47" t="inlineStr">
        <is>
          <t>Instagram gönderisi: 🌡️ Kemoterapi Alan...</t>
        </is>
      </c>
      <c r="C53" s="50" t="inlineStr">
        <is>
          <t>2026-06-24</t>
        </is>
      </c>
      <c r="D53" s="47" t="inlineStr">
        <is>
          <t>Doktor Sayfaları</t>
        </is>
      </c>
      <c r="E53" s="47" t="inlineStr">
        <is>
          <t>Instagram Öne Çıkarma</t>
        </is>
      </c>
      <c r="F53" s="47" t="inlineStr">
        <is>
          <t>Öne Çıkarma - Doktor</t>
        </is>
      </c>
      <c r="G53" s="84" t="n">
        <v>676.25</v>
      </c>
      <c r="H53" s="47" t="inlineStr">
        <is>
          <t>Instagram profili ziyaretleri</t>
        </is>
      </c>
      <c r="I53" s="50" t="n">
        <v>139</v>
      </c>
      <c r="J53" s="50" t="n">
        <v>3815</v>
      </c>
      <c r="K53" s="50" t="n">
        <v>4282</v>
      </c>
    </row>
    <row r="54">
      <c r="A54" s="43" t="inlineStr">
        <is>
          <t>Doç.Dr. Selin Aktürk Esen</t>
        </is>
      </c>
      <c r="B54" s="43" t="inlineStr">
        <is>
          <t>Instagram gönderisi: 🧬 Kanser Hastalarında Test...</t>
        </is>
      </c>
      <c r="C54" s="46" t="inlineStr">
        <is>
          <t>2026-07-06</t>
        </is>
      </c>
      <c r="D54" s="43" t="inlineStr">
        <is>
          <t>Doktor Sayfaları</t>
        </is>
      </c>
      <c r="E54" s="43" t="inlineStr">
        <is>
          <t>Instagram Öne Çıkarma</t>
        </is>
      </c>
      <c r="F54" s="43" t="inlineStr">
        <is>
          <t>Öne Çıkarma - Doktor</t>
        </is>
      </c>
      <c r="G54" s="83" t="n">
        <v>672.5599999999999</v>
      </c>
      <c r="H54" s="43" t="inlineStr">
        <is>
          <t>Instagram profili ziyaretleri</t>
        </is>
      </c>
      <c r="I54" s="46" t="n">
        <v>114</v>
      </c>
      <c r="J54" s="46" t="n">
        <v>8304</v>
      </c>
      <c r="K54" s="46" t="n">
        <v>8651</v>
      </c>
    </row>
    <row r="55">
      <c r="A55" s="47" t="inlineStr">
        <is>
          <t>Op.Dr. Eren Kaya</t>
        </is>
      </c>
      <c r="B55" s="47" t="inlineStr">
        <is>
          <t>Instagram gönderisi: ✅Gebelikte uyku pozisyonu...</t>
        </is>
      </c>
      <c r="C55" s="50" t="inlineStr">
        <is>
          <t>2026-07-06</t>
        </is>
      </c>
      <c r="D55" s="47" t="inlineStr">
        <is>
          <t>Doktor Sayfaları</t>
        </is>
      </c>
      <c r="E55" s="47" t="inlineStr">
        <is>
          <t>Instagram Öne Çıkarma</t>
        </is>
      </c>
      <c r="F55" s="47" t="inlineStr">
        <is>
          <t>Öne Çıkarma - Doktor</t>
        </is>
      </c>
      <c r="G55" s="84" t="n">
        <v>667.15</v>
      </c>
      <c r="H55" s="47" t="inlineStr">
        <is>
          <t>Instagram profili ziyaretleri</t>
        </is>
      </c>
      <c r="I55" s="50" t="n">
        <v>378</v>
      </c>
      <c r="J55" s="50" t="n">
        <v>13951</v>
      </c>
      <c r="K55" s="50" t="n">
        <v>14768</v>
      </c>
    </row>
    <row r="56">
      <c r="A56" s="43" t="inlineStr">
        <is>
          <t>Doç.Dr. Selin Aktürk Esen</t>
        </is>
      </c>
      <c r="B56" s="43" t="inlineStr">
        <is>
          <t>Instagram gönderisi: 🧬 Kanser Hastalarında Test...</t>
        </is>
      </c>
      <c r="C56" s="46" t="inlineStr">
        <is>
          <t>2026-06-29</t>
        </is>
      </c>
      <c r="D56" s="43" t="inlineStr">
        <is>
          <t>Doktor Sayfaları</t>
        </is>
      </c>
      <c r="E56" s="43" t="inlineStr">
        <is>
          <t>Instagram Öne Çıkarma</t>
        </is>
      </c>
      <c r="F56" s="43" t="inlineStr">
        <is>
          <t>Öne Çıkarma - Doktor</t>
        </is>
      </c>
      <c r="G56" s="83" t="n">
        <v>660.08</v>
      </c>
      <c r="H56" s="43" t="inlineStr">
        <is>
          <t>Instagram profili ziyaretleri</t>
        </is>
      </c>
      <c r="I56" s="46" t="n">
        <v>205</v>
      </c>
      <c r="J56" s="46" t="n">
        <v>4399</v>
      </c>
      <c r="K56" s="46" t="n">
        <v>4880</v>
      </c>
    </row>
    <row r="57">
      <c r="A57" s="47" t="inlineStr">
        <is>
          <t>Op.Dr. Eren Kaya</t>
        </is>
      </c>
      <c r="B57" s="47" t="inlineStr">
        <is>
          <t>Instagram gönderisi: “Erken gebelikte kanama...</t>
        </is>
      </c>
      <c r="C57" s="50" t="inlineStr">
        <is>
          <t>2026-06-24</t>
        </is>
      </c>
      <c r="D57" s="47" t="inlineStr">
        <is>
          <t>Doktor Sayfaları</t>
        </is>
      </c>
      <c r="E57" s="47" t="inlineStr">
        <is>
          <t>Instagram Öne Çıkarma</t>
        </is>
      </c>
      <c r="F57" s="47" t="inlineStr">
        <is>
          <t>Öne Çıkarma - Doktor</t>
        </is>
      </c>
      <c r="G57" s="84" t="n">
        <v>659.5</v>
      </c>
      <c r="H57" s="47" t="inlineStr">
        <is>
          <t>Instagram profili ziyaretleri</t>
        </is>
      </c>
      <c r="I57" s="50" t="n">
        <v>175</v>
      </c>
      <c r="J57" s="50" t="n">
        <v>9103</v>
      </c>
      <c r="K57" s="50" t="n">
        <v>10069</v>
      </c>
    </row>
    <row r="58">
      <c r="A58" s="43" t="inlineStr">
        <is>
          <t>Op.Dr. Abdullah ERTAŞ</t>
        </is>
      </c>
      <c r="B58" s="43" t="inlineStr">
        <is>
          <t>Instagram gönderisi: 🧠 MR Raporunda Her Yazan...</t>
        </is>
      </c>
      <c r="C58" s="46" t="inlineStr">
        <is>
          <t>2026-07-06</t>
        </is>
      </c>
      <c r="D58" s="43" t="inlineStr">
        <is>
          <t>Doktor Sayfaları</t>
        </is>
      </c>
      <c r="E58" s="43" t="inlineStr">
        <is>
          <t>Instagram Öne Çıkarma</t>
        </is>
      </c>
      <c r="F58" s="43" t="inlineStr">
        <is>
          <t>Öne Çıkarma - Doktor</t>
        </is>
      </c>
      <c r="G58" s="83" t="n">
        <v>652.37</v>
      </c>
      <c r="H58" s="43" t="inlineStr">
        <is>
          <t>Instagram profili ziyaretleri</t>
        </is>
      </c>
      <c r="I58" s="46" t="n">
        <v>168</v>
      </c>
      <c r="J58" s="46" t="n">
        <v>8800</v>
      </c>
      <c r="K58" s="46" t="n">
        <v>9173</v>
      </c>
    </row>
    <row r="59">
      <c r="A59" s="47" t="inlineStr">
        <is>
          <t>Op.Dr. Abdullah ERTAŞ</t>
        </is>
      </c>
      <c r="B59" s="47" t="inlineStr">
        <is>
          <t>Instagram gönderisi: 🧠 MR Raporunda Her Yazan...</t>
        </is>
      </c>
      <c r="C59" s="50" t="inlineStr">
        <is>
          <t>2026-07-05</t>
        </is>
      </c>
      <c r="D59" s="47" t="inlineStr">
        <is>
          <t>Doktor Sayfaları</t>
        </is>
      </c>
      <c r="E59" s="47" t="inlineStr">
        <is>
          <t>Instagram Öne Çıkarma</t>
        </is>
      </c>
      <c r="F59" s="47" t="inlineStr">
        <is>
          <t>Öne Çıkarma - Doktor</t>
        </is>
      </c>
      <c r="G59" s="84" t="n">
        <v>650.51</v>
      </c>
      <c r="H59" s="47" t="inlineStr">
        <is>
          <t>Instagram profili ziyaretleri</t>
        </is>
      </c>
      <c r="I59" s="50" t="n">
        <v>207</v>
      </c>
      <c r="J59" s="50" t="n">
        <v>6357</v>
      </c>
      <c r="K59" s="50" t="n">
        <v>6517</v>
      </c>
    </row>
    <row r="60">
      <c r="A60" s="43" t="inlineStr">
        <is>
          <t>Doç.Dr. Selin Aktürk Esen</t>
        </is>
      </c>
      <c r="B60" s="43" t="inlineStr">
        <is>
          <t>Instagram gönderisi: 🧬 Kanser Hastalarında Test...</t>
        </is>
      </c>
      <c r="C60" s="46" t="inlineStr">
        <is>
          <t>2026-07-05</t>
        </is>
      </c>
      <c r="D60" s="43" t="inlineStr">
        <is>
          <t>Doktor Sayfaları</t>
        </is>
      </c>
      <c r="E60" s="43" t="inlineStr">
        <is>
          <t>Instagram Öne Çıkarma</t>
        </is>
      </c>
      <c r="F60" s="43" t="inlineStr">
        <is>
          <t>Öne Çıkarma - Doktor</t>
        </is>
      </c>
      <c r="G60" s="83" t="n">
        <v>641.24</v>
      </c>
      <c r="H60" s="43" t="inlineStr">
        <is>
          <t>Instagram profili ziyaretleri</t>
        </is>
      </c>
      <c r="I60" s="46" t="n">
        <v>155</v>
      </c>
      <c r="J60" s="46" t="n">
        <v>5752</v>
      </c>
      <c r="K60" s="46" t="n">
        <v>6130</v>
      </c>
    </row>
    <row r="61">
      <c r="A61" s="47" t="inlineStr">
        <is>
          <t>Op.Dr. Abdullah ERTAŞ</t>
        </is>
      </c>
      <c r="B61" s="47" t="inlineStr">
        <is>
          <t>Instagram gönderisi: 🧠 MR Raporunda Her Yazan...</t>
        </is>
      </c>
      <c r="C61" s="50" t="inlineStr">
        <is>
          <t>2026-06-29</t>
        </is>
      </c>
      <c r="D61" s="47" t="inlineStr">
        <is>
          <t>Doktor Sayfaları</t>
        </is>
      </c>
      <c r="E61" s="47" t="inlineStr">
        <is>
          <t>Instagram Öne Çıkarma</t>
        </is>
      </c>
      <c r="F61" s="47" t="inlineStr">
        <is>
          <t>Öne Çıkarma - Doktor</t>
        </is>
      </c>
      <c r="G61" s="84" t="n">
        <v>613.84</v>
      </c>
      <c r="H61" s="47" t="inlineStr">
        <is>
          <t>Instagram profili ziyaretleri</t>
        </is>
      </c>
      <c r="I61" s="50" t="n">
        <v>175</v>
      </c>
      <c r="J61" s="50" t="n">
        <v>5152</v>
      </c>
      <c r="K61" s="50" t="n">
        <v>5464</v>
      </c>
    </row>
    <row r="62">
      <c r="A62" s="43" t="inlineStr">
        <is>
          <t>Op.Dr. Abdullah ERTAŞ</t>
        </is>
      </c>
      <c r="B62" s="43" t="inlineStr">
        <is>
          <t>Instagram gönderisi: 🦴 Kuyruk Sokumu Ağrısı Neden...</t>
        </is>
      </c>
      <c r="C62" s="46" t="inlineStr">
        <is>
          <t>2026-07-05</t>
        </is>
      </c>
      <c r="D62" s="43" t="inlineStr">
        <is>
          <t>Doktor Sayfaları</t>
        </is>
      </c>
      <c r="E62" s="43" t="inlineStr">
        <is>
          <t>Instagram Öne Çıkarma</t>
        </is>
      </c>
      <c r="F62" s="43" t="inlineStr">
        <is>
          <t>Öne Çıkarma - Doktor</t>
        </is>
      </c>
      <c r="G62" s="83" t="n">
        <v>605.53</v>
      </c>
      <c r="H62" s="43" t="inlineStr">
        <is>
          <t>Instagram profili ziyaretleri</t>
        </is>
      </c>
      <c r="I62" s="46" t="n">
        <v>146</v>
      </c>
      <c r="J62" s="46" t="n">
        <v>9067</v>
      </c>
      <c r="K62" s="46" t="n">
        <v>9437</v>
      </c>
    </row>
    <row r="63">
      <c r="A63" s="47" t="inlineStr">
        <is>
          <t>Op. Dr. Emre Çaycı</t>
        </is>
      </c>
      <c r="B63" s="47" t="inlineStr">
        <is>
          <t>Instagram gönderisi: 👨‍⚕️ Jinekomasti Ameliyatı...</t>
        </is>
      </c>
      <c r="C63" s="50" t="inlineStr">
        <is>
          <t>2026-07-05</t>
        </is>
      </c>
      <c r="D63" s="47" t="inlineStr">
        <is>
          <t>Doktor Sayfaları</t>
        </is>
      </c>
      <c r="E63" s="47" t="inlineStr">
        <is>
          <t>Instagram Öne Çıkarma</t>
        </is>
      </c>
      <c r="F63" s="47" t="inlineStr">
        <is>
          <t>Öne Çıkarma - Doktor</t>
        </is>
      </c>
      <c r="G63" s="84" t="n">
        <v>589.64</v>
      </c>
      <c r="H63" s="47" t="inlineStr">
        <is>
          <t>Instagram profili ziyaretleri</t>
        </is>
      </c>
      <c r="I63" s="50" t="n">
        <v>628</v>
      </c>
      <c r="J63" s="50" t="n">
        <v>14484</v>
      </c>
      <c r="K63" s="50" t="n">
        <v>14925</v>
      </c>
    </row>
    <row r="64">
      <c r="A64" s="43" t="inlineStr">
        <is>
          <t>Op.Dr. Abdullah ERTAŞ</t>
        </is>
      </c>
      <c r="B64" s="43" t="inlineStr">
        <is>
          <t>Instagram gönderisi: 🦴 Kuyruk Sokumu Ağrısı Neden...</t>
        </is>
      </c>
      <c r="C64" s="46" t="inlineStr">
        <is>
          <t>2026-06-29</t>
        </is>
      </c>
      <c r="D64" s="43" t="inlineStr">
        <is>
          <t>Doktor Sayfaları</t>
        </is>
      </c>
      <c r="E64" s="43" t="inlineStr">
        <is>
          <t>Instagram Öne Çıkarma</t>
        </is>
      </c>
      <c r="F64" s="43" t="inlineStr">
        <is>
          <t>Öne Çıkarma - Doktor</t>
        </is>
      </c>
      <c r="G64" s="83" t="n">
        <v>564.58</v>
      </c>
      <c r="H64" s="43" t="inlineStr">
        <is>
          <t>Instagram profili ziyaretleri</t>
        </is>
      </c>
      <c r="I64" s="46" t="n">
        <v>165</v>
      </c>
      <c r="J64" s="46" t="n">
        <v>5991</v>
      </c>
      <c r="K64" s="46" t="n">
        <v>6610</v>
      </c>
    </row>
    <row r="65">
      <c r="A65" s="47" t="inlineStr">
        <is>
          <t>Op.Dr. Eren Kaya</t>
        </is>
      </c>
      <c r="B65" s="47" t="inlineStr">
        <is>
          <t>Instagram gönderisi: ✅Gebelikte uyku pozisyonu...</t>
        </is>
      </c>
      <c r="C65" s="50" t="inlineStr">
        <is>
          <t>2026-07-05</t>
        </is>
      </c>
      <c r="D65" s="47" t="inlineStr">
        <is>
          <t>Doktor Sayfaları</t>
        </is>
      </c>
      <c r="E65" s="47" t="inlineStr">
        <is>
          <t>Instagram Öne Çıkarma</t>
        </is>
      </c>
      <c r="F65" s="47" t="inlineStr">
        <is>
          <t>Öne Çıkarma - Doktor</t>
        </is>
      </c>
      <c r="G65" s="84" t="n">
        <v>549.76</v>
      </c>
      <c r="H65" s="47" t="inlineStr">
        <is>
          <t>Instagram profili ziyaretleri</t>
        </is>
      </c>
      <c r="I65" s="50" t="n">
        <v>554</v>
      </c>
      <c r="J65" s="50" t="n">
        <v>11915</v>
      </c>
      <c r="K65" s="50" t="n">
        <v>12943</v>
      </c>
    </row>
    <row r="66">
      <c r="A66" s="43" t="inlineStr">
        <is>
          <t>Op. Dr. Emre Çaycı</t>
        </is>
      </c>
      <c r="B66" s="43" t="inlineStr">
        <is>
          <t>Gönderi: "👃 Rinoplasti Ameliyatı Nedir? Yumuşak Doku Neden..."</t>
        </is>
      </c>
      <c r="C66" s="46" t="inlineStr">
        <is>
          <t>2026-07-22</t>
        </is>
      </c>
      <c r="D66" s="43" t="inlineStr">
        <is>
          <t>Doktor Sayfaları</t>
        </is>
      </c>
      <c r="E66" s="43" t="inlineStr">
        <is>
          <t>Instagram Öne Çıkarma</t>
        </is>
      </c>
      <c r="F66" s="43" t="inlineStr">
        <is>
          <t>Öne Çıkarma - Doktor</t>
        </is>
      </c>
      <c r="G66" s="83" t="n">
        <v>468.78</v>
      </c>
      <c r="H66" s="43" t="inlineStr">
        <is>
          <t>Facebook Sayfası ziyaretleri</t>
        </is>
      </c>
      <c r="I66" s="46" t="n">
        <v>353</v>
      </c>
      <c r="J66" s="46" t="n">
        <v>4125</v>
      </c>
      <c r="K66" s="46" t="n">
        <v>5531</v>
      </c>
    </row>
    <row r="67">
      <c r="A67" s="47" t="inlineStr">
        <is>
          <t>Op.Dr. Eren Kaya</t>
        </is>
      </c>
      <c r="B67" s="47" t="inlineStr">
        <is>
          <t>Instagram gönderisi: ✅Gebelikte uyku pozisyonu...</t>
        </is>
      </c>
      <c r="C67" s="50" t="inlineStr">
        <is>
          <t>2026-07-22</t>
        </is>
      </c>
      <c r="D67" s="47" t="inlineStr">
        <is>
          <t>Doktor Sayfaları</t>
        </is>
      </c>
      <c r="E67" s="47" t="inlineStr">
        <is>
          <t>Instagram Öne Çıkarma</t>
        </is>
      </c>
      <c r="F67" s="47" t="inlineStr">
        <is>
          <t>Öne Çıkarma - Doktor</t>
        </is>
      </c>
      <c r="G67" s="84" t="n">
        <v>467.4</v>
      </c>
      <c r="H67" s="47" t="inlineStr">
        <is>
          <t>Instagram profili ziyaretleri</t>
        </is>
      </c>
      <c r="I67" s="50" t="n">
        <v>417</v>
      </c>
      <c r="J67" s="50" t="n">
        <v>8248</v>
      </c>
      <c r="K67" s="50" t="n">
        <v>9430</v>
      </c>
    </row>
    <row r="68">
      <c r="A68" s="43" t="inlineStr">
        <is>
          <t>Op. Dr. Emre Çaycı</t>
        </is>
      </c>
      <c r="B68" s="43" t="inlineStr">
        <is>
          <t>Instagram gönderisi: 👃 Rinoplasti Ameliyatı...</t>
        </is>
      </c>
      <c r="C68" s="46" t="inlineStr">
        <is>
          <t>2026-07-22</t>
        </is>
      </c>
      <c r="D68" s="43" t="inlineStr">
        <is>
          <t>Doktor Sayfaları</t>
        </is>
      </c>
      <c r="E68" s="43" t="inlineStr">
        <is>
          <t>Instagram Öne Çıkarma</t>
        </is>
      </c>
      <c r="F68" s="43" t="inlineStr">
        <is>
          <t>Öne Çıkarma - Doktor</t>
        </is>
      </c>
      <c r="G68" s="83" t="n">
        <v>426.68</v>
      </c>
      <c r="H68" s="43" t="inlineStr">
        <is>
          <t>Instagram profili ziyaretleri</t>
        </is>
      </c>
      <c r="I68" s="46" t="n">
        <v>301</v>
      </c>
      <c r="J68" s="46" t="n">
        <v>6300</v>
      </c>
      <c r="K68" s="46" t="n">
        <v>7598</v>
      </c>
    </row>
    <row r="69">
      <c r="A69" s="47" t="inlineStr">
        <is>
          <t>Op.Dr. Eren Kaya</t>
        </is>
      </c>
      <c r="B69" s="47" t="inlineStr">
        <is>
          <t>Instagram gönderisi: •Gebelikte Tarama Testleri |...</t>
        </is>
      </c>
      <c r="C69" s="50" t="inlineStr">
        <is>
          <t>2026-07-22</t>
        </is>
      </c>
      <c r="D69" s="47" t="inlineStr">
        <is>
          <t>Doktor Sayfaları</t>
        </is>
      </c>
      <c r="E69" s="47" t="inlineStr">
        <is>
          <t>Instagram Öne Çıkarma</t>
        </is>
      </c>
      <c r="F69" s="47" t="inlineStr">
        <is>
          <t>Öne Çıkarma - Doktor</t>
        </is>
      </c>
      <c r="G69" s="84" t="n">
        <v>411.17</v>
      </c>
      <c r="H69" s="47" t="inlineStr">
        <is>
          <t>Instagram profili ziyaretleri</t>
        </is>
      </c>
      <c r="I69" s="50" t="n">
        <v>229</v>
      </c>
      <c r="J69" s="50" t="n">
        <v>5876</v>
      </c>
      <c r="K69" s="50" t="n">
        <v>7022</v>
      </c>
    </row>
    <row r="70">
      <c r="A70" s="43" t="inlineStr">
        <is>
          <t>Doç.Dr. Selin Aktürk Esen</t>
        </is>
      </c>
      <c r="B70" s="43" t="inlineStr">
        <is>
          <t>Instagram gönderisi: 🎗️ Kemoterapi Alan Her...</t>
        </is>
      </c>
      <c r="C70" s="46" t="inlineStr">
        <is>
          <t>2026-07-22</t>
        </is>
      </c>
      <c r="D70" s="43" t="inlineStr">
        <is>
          <t>Doktor Sayfaları</t>
        </is>
      </c>
      <c r="E70" s="43" t="inlineStr">
        <is>
          <t>Instagram Öne Çıkarma</t>
        </is>
      </c>
      <c r="F70" s="43" t="inlineStr">
        <is>
          <t>Öne Çıkarma - Doktor</t>
        </is>
      </c>
      <c r="G70" s="83" t="n">
        <v>407.16</v>
      </c>
      <c r="H70" s="43" t="inlineStr">
        <is>
          <t>Instagram profili ziyaretleri</t>
        </is>
      </c>
      <c r="I70" s="46" t="n">
        <v>214</v>
      </c>
      <c r="J70" s="46" t="n">
        <v>4975</v>
      </c>
      <c r="K70" s="46" t="n">
        <v>5652</v>
      </c>
    </row>
    <row r="71">
      <c r="A71" s="47" t="inlineStr">
        <is>
          <t>Op. Dr. Emre Çaycı</t>
        </is>
      </c>
      <c r="B71" s="47" t="inlineStr">
        <is>
          <t>Instagram gönderisi: 🖐️ Parmak Ucu Defekti Nasıl...</t>
        </is>
      </c>
      <c r="C71" s="50" t="inlineStr">
        <is>
          <t>2026-07-22</t>
        </is>
      </c>
      <c r="D71" s="47" t="inlineStr">
        <is>
          <t>Doktor Sayfaları</t>
        </is>
      </c>
      <c r="E71" s="47" t="inlineStr">
        <is>
          <t>Instagram Öne Çıkarma</t>
        </is>
      </c>
      <c r="F71" s="47" t="inlineStr">
        <is>
          <t>Öne Çıkarma - Doktor</t>
        </is>
      </c>
      <c r="G71" s="84" t="n">
        <v>359.45</v>
      </c>
      <c r="H71" s="47" t="inlineStr">
        <is>
          <t>Instagram profili ziyaretleri</t>
        </is>
      </c>
      <c r="I71" s="50" t="n">
        <v>135</v>
      </c>
      <c r="J71" s="50" t="n">
        <v>4453</v>
      </c>
      <c r="K71" s="50" t="n">
        <v>5028</v>
      </c>
    </row>
    <row r="72">
      <c r="A72" s="43" t="inlineStr">
        <is>
          <t>Op.Dr. Abdullah ERTAŞ</t>
        </is>
      </c>
      <c r="B72" s="43" t="inlineStr">
        <is>
          <t>Instagram gönderisi: 🦴 Bel Fıtığında Doğru Zaman...</t>
        </is>
      </c>
      <c r="C72" s="46" t="inlineStr">
        <is>
          <t>2026-07-22</t>
        </is>
      </c>
      <c r="D72" s="43" t="inlineStr">
        <is>
          <t>Doktor Sayfaları</t>
        </is>
      </c>
      <c r="E72" s="43" t="inlineStr">
        <is>
          <t>Instagram Öne Çıkarma</t>
        </is>
      </c>
      <c r="F72" s="43" t="inlineStr">
        <is>
          <t>Öne Çıkarma - Doktor</t>
        </is>
      </c>
      <c r="G72" s="83" t="n">
        <v>350.58</v>
      </c>
      <c r="H72" s="43" t="inlineStr">
        <is>
          <t>Instagram profili ziyaretleri</t>
        </is>
      </c>
      <c r="I72" s="46" t="n">
        <v>155</v>
      </c>
      <c r="J72" s="46" t="n">
        <v>4668</v>
      </c>
      <c r="K72" s="46" t="n">
        <v>5326</v>
      </c>
    </row>
    <row r="73">
      <c r="A73" s="47" t="inlineStr">
        <is>
          <t>Op. Dr. Emre Çaycı</t>
        </is>
      </c>
      <c r="B73" s="47" t="inlineStr">
        <is>
          <t>Instagram gönderisi: 👨‍⚕️ Jinekomasti Ameliyatı...</t>
        </is>
      </c>
      <c r="C73" s="50" t="inlineStr">
        <is>
          <t>2026-07-14</t>
        </is>
      </c>
      <c r="D73" s="47" t="inlineStr">
        <is>
          <t>Doktor Sayfaları</t>
        </is>
      </c>
      <c r="E73" s="47" t="inlineStr">
        <is>
          <t>Instagram Öne Çıkarma</t>
        </is>
      </c>
      <c r="F73" s="47" t="inlineStr">
        <is>
          <t>Öne Çıkarma - Doktor</t>
        </is>
      </c>
      <c r="G73" s="84" t="n">
        <v>347.48</v>
      </c>
      <c r="H73" s="47" t="inlineStr">
        <is>
          <t>Instagram profili ziyaretleri</t>
        </is>
      </c>
      <c r="I73" s="50" t="n">
        <v>394</v>
      </c>
      <c r="J73" s="50" t="n">
        <v>10799</v>
      </c>
      <c r="K73" s="50" t="n">
        <v>11139</v>
      </c>
    </row>
    <row r="74">
      <c r="A74" s="43" t="inlineStr">
        <is>
          <t>Doç.Dr. Selin Aktürk Esen</t>
        </is>
      </c>
      <c r="B74" s="43" t="inlineStr">
        <is>
          <t>Instagram gönderisi: 🎗️ Kanser Tanısı Fizik...</t>
        </is>
      </c>
      <c r="C74" s="46" t="inlineStr">
        <is>
          <t>2026-07-22</t>
        </is>
      </c>
      <c r="D74" s="43" t="inlineStr">
        <is>
          <t>Doktor Sayfaları</t>
        </is>
      </c>
      <c r="E74" s="43" t="inlineStr">
        <is>
          <t>Instagram Öne Çıkarma</t>
        </is>
      </c>
      <c r="F74" s="43" t="inlineStr">
        <is>
          <t>Öne Çıkarma - Doktor</t>
        </is>
      </c>
      <c r="G74" s="83" t="n">
        <v>339.41</v>
      </c>
      <c r="H74" s="43" t="inlineStr">
        <is>
          <t>Instagram profili ziyaretleri</t>
        </is>
      </c>
      <c r="I74" s="46" t="n">
        <v>73</v>
      </c>
      <c r="J74" s="46" t="n">
        <v>2918</v>
      </c>
      <c r="K74" s="46" t="n">
        <v>3117</v>
      </c>
    </row>
    <row r="75">
      <c r="A75" s="47" t="inlineStr">
        <is>
          <t>Op.Dr. Abdullah ERTAŞ</t>
        </is>
      </c>
      <c r="B75" s="47" t="inlineStr">
        <is>
          <t>Instagram gönderisi: 🦴 Omurga Kırıklarında Asıl...</t>
        </is>
      </c>
      <c r="C75" s="50" t="inlineStr">
        <is>
          <t>2026-07-22</t>
        </is>
      </c>
      <c r="D75" s="47" t="inlineStr">
        <is>
          <t>Doktor Sayfaları</t>
        </is>
      </c>
      <c r="E75" s="47" t="inlineStr">
        <is>
          <t>Instagram Öne Çıkarma</t>
        </is>
      </c>
      <c r="F75" s="47" t="inlineStr">
        <is>
          <t>Öne Çıkarma - Doktor</t>
        </is>
      </c>
      <c r="G75" s="84" t="n">
        <v>336.23</v>
      </c>
      <c r="H75" s="47" t="inlineStr">
        <is>
          <t>Instagram profili ziyaretleri</t>
        </is>
      </c>
      <c r="I75" s="50" t="n">
        <v>81</v>
      </c>
      <c r="J75" s="50" t="n">
        <v>3908</v>
      </c>
      <c r="K75" s="50" t="n">
        <v>4301</v>
      </c>
    </row>
    <row r="76">
      <c r="A76" s="43" t="inlineStr">
        <is>
          <t>Op. Dr. Emre Çaycı</t>
        </is>
      </c>
      <c r="B76" s="43" t="inlineStr">
        <is>
          <t>Instagram gönderisi: 👨‍⚕️ Jinekomasti Ameliyatı...</t>
        </is>
      </c>
      <c r="C76" s="46" t="inlineStr">
        <is>
          <t>2026-07-11</t>
        </is>
      </c>
      <c r="D76" s="43" t="inlineStr">
        <is>
          <t>Doktor Sayfaları</t>
        </is>
      </c>
      <c r="E76" s="43" t="inlineStr">
        <is>
          <t>Instagram Öne Çıkarma</t>
        </is>
      </c>
      <c r="F76" s="43" t="inlineStr">
        <is>
          <t>Öne Çıkarma - Doktor</t>
        </is>
      </c>
      <c r="G76" s="83" t="n">
        <v>303.78</v>
      </c>
      <c r="H76" s="43" t="inlineStr">
        <is>
          <t>Instagram profili ziyaretleri</t>
        </is>
      </c>
      <c r="I76" s="46" t="n">
        <v>325</v>
      </c>
      <c r="J76" s="46" t="n">
        <v>8451</v>
      </c>
      <c r="K76" s="46" t="n">
        <v>8560</v>
      </c>
    </row>
    <row r="77">
      <c r="A77" s="47" t="inlineStr">
        <is>
          <t>Op. Dr. Emre Çaycı</t>
        </is>
      </c>
      <c r="B77" s="47" t="inlineStr">
        <is>
          <t>Instagram gönderisi: 👨‍⚕️ Jinekomasti Ameliyatı...</t>
        </is>
      </c>
      <c r="C77" s="50" t="inlineStr">
        <is>
          <t>2026-07-06</t>
        </is>
      </c>
      <c r="D77" s="47" t="inlineStr">
        <is>
          <t>Doktor Sayfaları</t>
        </is>
      </c>
      <c r="E77" s="47" t="inlineStr">
        <is>
          <t>Instagram Öne Çıkarma</t>
        </is>
      </c>
      <c r="F77" s="47" t="inlineStr">
        <is>
          <t>Öne Çıkarma - Doktor</t>
        </is>
      </c>
      <c r="G77" s="84" t="n">
        <v>68.08</v>
      </c>
      <c r="H77" s="47" t="inlineStr">
        <is>
          <t>Instagram profili ziyaretleri</t>
        </is>
      </c>
      <c r="I77" s="50" t="n">
        <v>72</v>
      </c>
      <c r="J77" s="50" t="n">
        <v>1718</v>
      </c>
      <c r="K77" s="50" t="n">
        <v>1744</v>
      </c>
    </row>
    <row r="78">
      <c r="A78" s="43" t="inlineStr">
        <is>
          <t>Doruk Estetik &amp; Saç Ekimi</t>
        </is>
      </c>
      <c r="B78" s="43" t="inlineStr">
        <is>
          <t>Instagram gönderisi: Medikal estetik alanındaki...</t>
        </is>
      </c>
      <c r="C78" s="46" t="inlineStr">
        <is>
          <t>2026-06-27</t>
        </is>
      </c>
      <c r="D78" s="43" t="inlineStr">
        <is>
          <t>Estetik Marka</t>
        </is>
      </c>
      <c r="E78" s="43" t="inlineStr">
        <is>
          <t>Instagram Öne Çıkarma</t>
        </is>
      </c>
      <c r="F78" s="43" t="inlineStr">
        <is>
          <t>Öne Çıkarma - Doruk Estetik</t>
        </is>
      </c>
      <c r="G78" s="83" t="n">
        <v>861.3099999999999</v>
      </c>
      <c r="H78" s="43" t="inlineStr">
        <is>
          <t>Instagram profili ziyaretleri</t>
        </is>
      </c>
      <c r="I78" s="46" t="n">
        <v>176</v>
      </c>
      <c r="J78" s="46" t="n">
        <v>10978</v>
      </c>
      <c r="K78" s="46" t="n">
        <v>11294</v>
      </c>
    </row>
    <row r="79">
      <c r="A79" s="47" t="inlineStr">
        <is>
          <t>Doruk Estetik &amp; Saç Ekimi</t>
        </is>
      </c>
      <c r="B79" s="47" t="inlineStr">
        <is>
          <t>Instagram gönderisi: Medikal estetik alanındaki...</t>
        </is>
      </c>
      <c r="C79" s="50" t="inlineStr">
        <is>
          <t>2026-07-18</t>
        </is>
      </c>
      <c r="D79" s="47" t="inlineStr">
        <is>
          <t>Estetik Marka</t>
        </is>
      </c>
      <c r="E79" s="47" t="inlineStr">
        <is>
          <t>Instagram Öne Çıkarma</t>
        </is>
      </c>
      <c r="F79" s="47" t="inlineStr">
        <is>
          <t>Öne Çıkarma - Doruk Estetik</t>
        </is>
      </c>
      <c r="G79" s="84" t="n">
        <v>785.3</v>
      </c>
      <c r="H79" s="47" t="inlineStr">
        <is>
          <t>Instagram profili ziyaretleri</t>
        </is>
      </c>
      <c r="I79" s="50" t="n">
        <v>187</v>
      </c>
      <c r="J79" s="50" t="n">
        <v>11049</v>
      </c>
      <c r="K79" s="50" t="n">
        <v>12243</v>
      </c>
    </row>
    <row r="80">
      <c r="A80" s="43" t="inlineStr">
        <is>
          <t>Doruk Estetik &amp; Saç Ekimi</t>
        </is>
      </c>
      <c r="B80" s="43" t="inlineStr">
        <is>
          <t>Instagram gönderisi: Jinekomasti her zaman...</t>
        </is>
      </c>
      <c r="C80" s="46" t="inlineStr">
        <is>
          <t>2026-07-13</t>
        </is>
      </c>
      <c r="D80" s="43" t="inlineStr">
        <is>
          <t>Estetik Marka</t>
        </is>
      </c>
      <c r="E80" s="43" t="inlineStr">
        <is>
          <t>Instagram Öne Çıkarma</t>
        </is>
      </c>
      <c r="F80" s="43" t="inlineStr">
        <is>
          <t>Öne Çıkarma - Doruk Estetik</t>
        </is>
      </c>
      <c r="G80" s="83" t="n">
        <v>780.14</v>
      </c>
      <c r="H80" s="43" t="inlineStr">
        <is>
          <t>Instagram profili ziyaretleri</t>
        </is>
      </c>
      <c r="I80" s="46" t="n">
        <v>116</v>
      </c>
      <c r="J80" s="46" t="n">
        <v>8453</v>
      </c>
      <c r="K80" s="46" t="n">
        <v>9303</v>
      </c>
    </row>
    <row r="81">
      <c r="A81" s="47" t="inlineStr">
        <is>
          <t>Doruk Estetik &amp; Saç Ekimi</t>
        </is>
      </c>
      <c r="B81" s="47" t="inlineStr">
        <is>
          <t>Instagram gönderisi: Kilo verirken yüzünüzde...</t>
        </is>
      </c>
      <c r="C81" s="50" t="inlineStr">
        <is>
          <t>2026-07-13</t>
        </is>
      </c>
      <c r="D81" s="47" t="inlineStr">
        <is>
          <t>Estetik Marka</t>
        </is>
      </c>
      <c r="E81" s="47" t="inlineStr">
        <is>
          <t>Instagram Öne Çıkarma</t>
        </is>
      </c>
      <c r="F81" s="47" t="inlineStr">
        <is>
          <t>Öne Çıkarma - Doruk Estetik</t>
        </is>
      </c>
      <c r="G81" s="84" t="n">
        <v>775.6799999999999</v>
      </c>
      <c r="H81" s="47" t="inlineStr">
        <is>
          <t>Instagram profili ziyaretleri</t>
        </is>
      </c>
      <c r="I81" s="50" t="n">
        <v>165</v>
      </c>
      <c r="J81" s="50" t="n">
        <v>10154</v>
      </c>
      <c r="K81" s="50" t="n">
        <v>10561</v>
      </c>
    </row>
    <row r="82">
      <c r="A82" s="43" t="inlineStr">
        <is>
          <t>Doruk Estetik &amp; Saç Ekimi</t>
        </is>
      </c>
      <c r="B82" s="43" t="inlineStr">
        <is>
          <t>Instagram gönderisi: Kulak görünümünüz nedeniyle...</t>
        </is>
      </c>
      <c r="C82" s="46" t="inlineStr">
        <is>
          <t>2026-07-13</t>
        </is>
      </c>
      <c r="D82" s="43" t="inlineStr">
        <is>
          <t>Estetik Marka</t>
        </is>
      </c>
      <c r="E82" s="43" t="inlineStr">
        <is>
          <t>Instagram Öne Çıkarma</t>
        </is>
      </c>
      <c r="F82" s="43" t="inlineStr">
        <is>
          <t>Öne Çıkarma - Doruk Estetik</t>
        </is>
      </c>
      <c r="G82" s="83" t="n">
        <v>770.24</v>
      </c>
      <c r="H82" s="43" t="inlineStr">
        <is>
          <t>Instagram profili ziyaretleri</t>
        </is>
      </c>
      <c r="I82" s="46" t="n">
        <v>131</v>
      </c>
      <c r="J82" s="46" t="n">
        <v>17715</v>
      </c>
      <c r="K82" s="46" t="n">
        <v>18785</v>
      </c>
    </row>
    <row r="83">
      <c r="A83" s="47" t="inlineStr">
        <is>
          <t>Doruk Estetik &amp; Saç Ekimi</t>
        </is>
      </c>
      <c r="B83" s="47" t="inlineStr">
        <is>
          <t>Instagram gönderisi: Yüz bölgesine yapılan...</t>
        </is>
      </c>
      <c r="C83" s="50" t="inlineStr">
        <is>
          <t>2026-07-13</t>
        </is>
      </c>
      <c r="D83" s="47" t="inlineStr">
        <is>
          <t>Estetik Marka</t>
        </is>
      </c>
      <c r="E83" s="47" t="inlineStr">
        <is>
          <t>Instagram Öne Çıkarma</t>
        </is>
      </c>
      <c r="F83" s="47" t="inlineStr">
        <is>
          <t>Öne Çıkarma - Doruk Estetik</t>
        </is>
      </c>
      <c r="G83" s="84" t="n">
        <v>758.11</v>
      </c>
      <c r="H83" s="47" t="inlineStr">
        <is>
          <t>Instagram profili ziyaretleri</t>
        </is>
      </c>
      <c r="I83" s="50" t="n">
        <v>168</v>
      </c>
      <c r="J83" s="50" t="n">
        <v>6042</v>
      </c>
      <c r="K83" s="50" t="n">
        <v>6371</v>
      </c>
    </row>
    <row r="84">
      <c r="A84" s="43" t="inlineStr">
        <is>
          <t>Doruk Estetik &amp; Saç Ekimi</t>
        </is>
      </c>
      <c r="B84" s="43" t="inlineStr">
        <is>
          <t>Instagram gönderisi: Medikal estetik alanındaki...</t>
        </is>
      </c>
      <c r="C84" s="46" t="inlineStr">
        <is>
          <t>2026-06-26</t>
        </is>
      </c>
      <c r="D84" s="43" t="inlineStr">
        <is>
          <t>Estetik Marka</t>
        </is>
      </c>
      <c r="E84" s="43" t="inlineStr">
        <is>
          <t>Instagram Öne Çıkarma</t>
        </is>
      </c>
      <c r="F84" s="43" t="inlineStr">
        <is>
          <t>Öne Çıkarma - Doruk Estetik</t>
        </is>
      </c>
      <c r="G84" s="83" t="n">
        <v>685.88</v>
      </c>
      <c r="H84" s="43" t="inlineStr">
        <is>
          <t>Instagram profili ziyaretleri</t>
        </is>
      </c>
      <c r="I84" s="46" t="n">
        <v>125</v>
      </c>
      <c r="J84" s="46" t="n">
        <v>7742</v>
      </c>
      <c r="K84" s="46" t="n">
        <v>8289</v>
      </c>
    </row>
    <row r="85">
      <c r="A85" s="47" t="inlineStr">
        <is>
          <t>Doruk Estetik &amp; Saç Ekimi</t>
        </is>
      </c>
      <c r="B85" s="47" t="inlineStr">
        <is>
          <t>Instagram gönderisi: Medikal estetik alanındaki...</t>
        </is>
      </c>
      <c r="C85" s="50" t="inlineStr">
        <is>
          <t>2026-07-16</t>
        </is>
      </c>
      <c r="D85" s="47" t="inlineStr">
        <is>
          <t>Estetik Marka</t>
        </is>
      </c>
      <c r="E85" s="47" t="inlineStr">
        <is>
          <t>Instagram Öne Çıkarma</t>
        </is>
      </c>
      <c r="F85" s="47" t="inlineStr">
        <is>
          <t>Öne Çıkarma - Doruk Estetik</t>
        </is>
      </c>
      <c r="G85" s="84" t="n">
        <v>675.71</v>
      </c>
      <c r="H85" s="47" t="inlineStr">
        <is>
          <t>Instagram profili ziyaretleri</t>
        </is>
      </c>
      <c r="I85" s="50" t="n">
        <v>142</v>
      </c>
      <c r="J85" s="50" t="n">
        <v>11036</v>
      </c>
      <c r="K85" s="50" t="n">
        <v>11696</v>
      </c>
    </row>
    <row r="86">
      <c r="A86" s="43" t="inlineStr">
        <is>
          <t>Doruk Estetik &amp; Saç Ekimi</t>
        </is>
      </c>
      <c r="B86" s="43" t="inlineStr">
        <is>
          <t>Instagram gönderisi: Kulak görünümünüz nedeniyle...</t>
        </is>
      </c>
      <c r="C86" s="46" t="inlineStr">
        <is>
          <t>2026-07-10</t>
        </is>
      </c>
      <c r="D86" s="43" t="inlineStr">
        <is>
          <t>Estetik Marka</t>
        </is>
      </c>
      <c r="E86" s="43" t="inlineStr">
        <is>
          <t>Instagram Öne Çıkarma</t>
        </is>
      </c>
      <c r="F86" s="43" t="inlineStr">
        <is>
          <t>Öne Çıkarma - Doruk Estetik</t>
        </is>
      </c>
      <c r="G86" s="83" t="n">
        <v>668.4400000000001</v>
      </c>
      <c r="H86" s="43" t="inlineStr">
        <is>
          <t>Instagram profili ziyaretleri</t>
        </is>
      </c>
      <c r="I86" s="46" t="n">
        <v>97</v>
      </c>
      <c r="J86" s="46" t="n">
        <v>14053</v>
      </c>
      <c r="K86" s="46" t="n">
        <v>14612</v>
      </c>
    </row>
    <row r="87">
      <c r="A87" s="47" t="inlineStr">
        <is>
          <t>Doruk Estetik &amp; Saç Ekimi</t>
        </is>
      </c>
      <c r="B87" s="47" t="inlineStr">
        <is>
          <t>Instagram gönderisi: Yüz bölgesine yapılan...</t>
        </is>
      </c>
      <c r="C87" s="50" t="inlineStr">
        <is>
          <t>2026-07-10</t>
        </is>
      </c>
      <c r="D87" s="47" t="inlineStr">
        <is>
          <t>Estetik Marka</t>
        </is>
      </c>
      <c r="E87" s="47" t="inlineStr">
        <is>
          <t>Instagram Öne Çıkarma</t>
        </is>
      </c>
      <c r="F87" s="47" t="inlineStr">
        <is>
          <t>Öne Çıkarma - Doruk Estetik</t>
        </is>
      </c>
      <c r="G87" s="84" t="n">
        <v>655.04</v>
      </c>
      <c r="H87" s="47" t="inlineStr">
        <is>
          <t>Instagram profili ziyaretleri</t>
        </is>
      </c>
      <c r="I87" s="50" t="n">
        <v>153</v>
      </c>
      <c r="J87" s="50" t="n">
        <v>4487</v>
      </c>
      <c r="K87" s="50" t="n">
        <v>4852</v>
      </c>
    </row>
    <row r="88">
      <c r="A88" s="43" t="inlineStr">
        <is>
          <t>Doruk Estetik &amp; Saç Ekimi</t>
        </is>
      </c>
      <c r="B88" s="43" t="inlineStr">
        <is>
          <t>Instagram gönderisi: Medikal estetik alanındaki...</t>
        </is>
      </c>
      <c r="C88" s="46" t="inlineStr">
        <is>
          <t>2026-07-10</t>
        </is>
      </c>
      <c r="D88" s="43" t="inlineStr">
        <is>
          <t>Estetik Marka</t>
        </is>
      </c>
      <c r="E88" s="43" t="inlineStr">
        <is>
          <t>Instagram Öne Çıkarma</t>
        </is>
      </c>
      <c r="F88" s="43" t="inlineStr">
        <is>
          <t>Öne Çıkarma - Doruk Estetik</t>
        </is>
      </c>
      <c r="G88" s="83" t="n">
        <v>643.6799999999999</v>
      </c>
      <c r="H88" s="43" t="inlineStr">
        <is>
          <t>Instagram profili ziyaretleri</t>
        </is>
      </c>
      <c r="I88" s="46" t="n">
        <v>151</v>
      </c>
      <c r="J88" s="46" t="n">
        <v>11445</v>
      </c>
      <c r="K88" s="46" t="n">
        <v>12638</v>
      </c>
    </row>
    <row r="89">
      <c r="A89" s="47" t="inlineStr">
        <is>
          <t>Doruk Estetik &amp; Saç Ekimi</t>
        </is>
      </c>
      <c r="B89" s="47" t="inlineStr">
        <is>
          <t>Instagram gönderisi: Jinekomasti her zaman...</t>
        </is>
      </c>
      <c r="C89" s="50" t="inlineStr">
        <is>
          <t>2026-07-10</t>
        </is>
      </c>
      <c r="D89" s="47" t="inlineStr">
        <is>
          <t>Estetik Marka</t>
        </is>
      </c>
      <c r="E89" s="47" t="inlineStr">
        <is>
          <t>Instagram Öne Çıkarma</t>
        </is>
      </c>
      <c r="F89" s="47" t="inlineStr">
        <is>
          <t>Öne Çıkarma - Doruk Estetik</t>
        </is>
      </c>
      <c r="G89" s="84" t="n">
        <v>642.72</v>
      </c>
      <c r="H89" s="47" t="inlineStr">
        <is>
          <t>Instagram profili ziyaretleri</t>
        </is>
      </c>
      <c r="I89" s="50" t="n">
        <v>102</v>
      </c>
      <c r="J89" s="50" t="n">
        <v>7587</v>
      </c>
      <c r="K89" s="50" t="n">
        <v>8175</v>
      </c>
    </row>
    <row r="90">
      <c r="A90" s="43" t="inlineStr">
        <is>
          <t>Doruk Estetik &amp; Saç Ekimi</t>
        </is>
      </c>
      <c r="B90" s="43" t="inlineStr">
        <is>
          <t>Instagram gönderisi: Kilo verirken yüzünüzde...</t>
        </is>
      </c>
      <c r="C90" s="46" t="inlineStr">
        <is>
          <t>2026-07-10</t>
        </is>
      </c>
      <c r="D90" s="43" t="inlineStr">
        <is>
          <t>Estetik Marka</t>
        </is>
      </c>
      <c r="E90" s="43" t="inlineStr">
        <is>
          <t>Instagram Öne Çıkarma</t>
        </is>
      </c>
      <c r="F90" s="43" t="inlineStr">
        <is>
          <t>Öne Çıkarma - Doruk Estetik</t>
        </is>
      </c>
      <c r="G90" s="83" t="n">
        <v>633.71</v>
      </c>
      <c r="H90" s="43" t="inlineStr">
        <is>
          <t>Instagram profili ziyaretleri</t>
        </is>
      </c>
      <c r="I90" s="46" t="n">
        <v>97</v>
      </c>
      <c r="J90" s="46" t="n">
        <v>5988</v>
      </c>
      <c r="K90" s="46" t="n">
        <v>6435</v>
      </c>
    </row>
    <row r="91">
      <c r="A91" s="47" t="inlineStr">
        <is>
          <t>Doruk Estetik &amp; Saç Ekimi</t>
        </is>
      </c>
      <c r="B91" s="47" t="inlineStr">
        <is>
          <t>Instagram gönderisi: Yüz bölgesine yapılan...</t>
        </is>
      </c>
      <c r="C91" s="50" t="inlineStr">
        <is>
          <t>2026-07-08</t>
        </is>
      </c>
      <c r="D91" s="47" t="inlineStr">
        <is>
          <t>Estetik Marka</t>
        </is>
      </c>
      <c r="E91" s="47" t="inlineStr">
        <is>
          <t>Instagram Öne Çıkarma</t>
        </is>
      </c>
      <c r="F91" s="47" t="inlineStr">
        <is>
          <t>Öne Çıkarma - Doruk Estetik</t>
        </is>
      </c>
      <c r="G91" s="84" t="n">
        <v>611.3</v>
      </c>
      <c r="H91" s="47" t="inlineStr">
        <is>
          <t>Instagram profili ziyaretleri</t>
        </is>
      </c>
      <c r="I91" s="50" t="n">
        <v>95</v>
      </c>
      <c r="J91" s="50" t="n">
        <v>2719</v>
      </c>
      <c r="K91" s="50" t="n">
        <v>2953</v>
      </c>
    </row>
    <row r="92">
      <c r="A92" s="43" t="inlineStr">
        <is>
          <t>Doruk Estetik &amp; Saç Ekimi</t>
        </is>
      </c>
      <c r="B92" s="43" t="inlineStr">
        <is>
          <t>Instagram gönderisi: Jinekomasti her zaman...</t>
        </is>
      </c>
      <c r="C92" s="46" t="inlineStr">
        <is>
          <t>2026-07-08</t>
        </is>
      </c>
      <c r="D92" s="43" t="inlineStr">
        <is>
          <t>Estetik Marka</t>
        </is>
      </c>
      <c r="E92" s="43" t="inlineStr">
        <is>
          <t>Instagram Öne Çıkarma</t>
        </is>
      </c>
      <c r="F92" s="43" t="inlineStr">
        <is>
          <t>Öne Çıkarma - Doruk Estetik</t>
        </is>
      </c>
      <c r="G92" s="83" t="n">
        <v>604.27</v>
      </c>
      <c r="H92" s="43" t="inlineStr">
        <is>
          <t>Instagram profili ziyaretleri</t>
        </is>
      </c>
      <c r="I92" s="46" t="n">
        <v>82</v>
      </c>
      <c r="J92" s="46" t="n">
        <v>4469</v>
      </c>
      <c r="K92" s="46" t="n">
        <v>4916</v>
      </c>
    </row>
    <row r="93">
      <c r="A93" s="47" t="inlineStr">
        <is>
          <t>Doruk Estetik &amp; Saç Ekimi</t>
        </is>
      </c>
      <c r="B93" s="47" t="inlineStr">
        <is>
          <t>Instagram gönderisi: Medikal estetik alanındaki...</t>
        </is>
      </c>
      <c r="C93" s="50" t="inlineStr">
        <is>
          <t>2026-07-01</t>
        </is>
      </c>
      <c r="D93" s="47" t="inlineStr">
        <is>
          <t>Estetik Marka</t>
        </is>
      </c>
      <c r="E93" s="47" t="inlineStr">
        <is>
          <t>Instagram Öne Çıkarma</t>
        </is>
      </c>
      <c r="F93" s="47" t="inlineStr">
        <is>
          <t>Öne Çıkarma - Doruk Estetik</t>
        </is>
      </c>
      <c r="G93" s="84" t="n">
        <v>581.77</v>
      </c>
      <c r="H93" s="47" t="inlineStr">
        <is>
          <t>Instagram profili ziyaretleri</t>
        </is>
      </c>
      <c r="I93" s="50" t="n">
        <v>160</v>
      </c>
      <c r="J93" s="50" t="n">
        <v>8091</v>
      </c>
      <c r="K93" s="50" t="n">
        <v>8581</v>
      </c>
    </row>
    <row r="94">
      <c r="A94" s="43" t="inlineStr">
        <is>
          <t>Doruk Estetik &amp; Saç Ekimi</t>
        </is>
      </c>
      <c r="B94" s="43" t="inlineStr">
        <is>
          <t>Instagram gönderisi: Kilo verirken yüzünüzde...</t>
        </is>
      </c>
      <c r="C94" s="46" t="inlineStr">
        <is>
          <t>2026-07-08</t>
        </is>
      </c>
      <c r="D94" s="43" t="inlineStr">
        <is>
          <t>Estetik Marka</t>
        </is>
      </c>
      <c r="E94" s="43" t="inlineStr">
        <is>
          <t>Instagram Öne Çıkarma</t>
        </is>
      </c>
      <c r="F94" s="43" t="inlineStr">
        <is>
          <t>Öne Çıkarma - Doruk Estetik</t>
        </is>
      </c>
      <c r="G94" s="83" t="n">
        <v>570.3</v>
      </c>
      <c r="H94" s="43" t="inlineStr">
        <is>
          <t>Instagram profili ziyaretleri</t>
        </is>
      </c>
      <c r="I94" s="46" t="n">
        <v>78</v>
      </c>
      <c r="J94" s="46" t="n">
        <v>4120</v>
      </c>
      <c r="K94" s="46" t="n">
        <v>4481</v>
      </c>
    </row>
    <row r="95">
      <c r="A95" s="47" t="inlineStr">
        <is>
          <t>Doruk Estetik &amp; Saç Ekimi</t>
        </is>
      </c>
      <c r="B95" s="47" t="inlineStr">
        <is>
          <t>Instagram gönderisi: Kulak görünümünüz nedeniyle...</t>
        </is>
      </c>
      <c r="C95" s="50" t="inlineStr">
        <is>
          <t>2026-07-08</t>
        </is>
      </c>
      <c r="D95" s="47" t="inlineStr">
        <is>
          <t>Estetik Marka</t>
        </is>
      </c>
      <c r="E95" s="47" t="inlineStr">
        <is>
          <t>Instagram Öne Çıkarma</t>
        </is>
      </c>
      <c r="F95" s="47" t="inlineStr">
        <is>
          <t>Öne Çıkarma - Doruk Estetik</t>
        </is>
      </c>
      <c r="G95" s="84" t="n">
        <v>564.1</v>
      </c>
      <c r="H95" s="47" t="inlineStr">
        <is>
          <t>Instagram profili ziyaretleri</t>
        </is>
      </c>
      <c r="I95" s="50" t="n">
        <v>67</v>
      </c>
      <c r="J95" s="50" t="n">
        <v>12445</v>
      </c>
      <c r="K95" s="50" t="n">
        <v>12810</v>
      </c>
    </row>
    <row r="96">
      <c r="A96" s="43" t="inlineStr">
        <is>
          <t>Doruk Estetik &amp; Saç Ekimi</t>
        </is>
      </c>
      <c r="B96" s="43" t="inlineStr">
        <is>
          <t>Instagram gönderisi: Medikal estetik alanındaki...</t>
        </is>
      </c>
      <c r="C96" s="46" t="inlineStr">
        <is>
          <t>2026-07-08</t>
        </is>
      </c>
      <c r="D96" s="43" t="inlineStr">
        <is>
          <t>Estetik Marka</t>
        </is>
      </c>
      <c r="E96" s="43" t="inlineStr">
        <is>
          <t>Instagram Öne Çıkarma</t>
        </is>
      </c>
      <c r="F96" s="43" t="inlineStr">
        <is>
          <t>Öne Çıkarma - Doruk Estetik</t>
        </is>
      </c>
      <c r="G96" s="83" t="n">
        <v>562.1900000000001</v>
      </c>
      <c r="H96" s="43" t="inlineStr">
        <is>
          <t>Instagram profili ziyaretleri</t>
        </is>
      </c>
      <c r="I96" s="46" t="n">
        <v>111</v>
      </c>
      <c r="J96" s="46" t="n">
        <v>9148</v>
      </c>
      <c r="K96" s="46" t="n">
        <v>9287</v>
      </c>
    </row>
    <row r="97">
      <c r="A97" s="47" t="inlineStr">
        <is>
          <t>Doruk Estetik &amp; Saç Ekimi</t>
        </is>
      </c>
      <c r="B97" s="47" t="inlineStr">
        <is>
          <t>Instagram gönderisi: Kulak görünümünüz nedeniyle...</t>
        </is>
      </c>
      <c r="C97" s="50" t="inlineStr">
        <is>
          <t>2026-07-01</t>
        </is>
      </c>
      <c r="D97" s="47" t="inlineStr">
        <is>
          <t>Estetik Marka</t>
        </is>
      </c>
      <c r="E97" s="47" t="inlineStr">
        <is>
          <t>Instagram Öne Çıkarma</t>
        </is>
      </c>
      <c r="F97" s="47" t="inlineStr">
        <is>
          <t>Öne Çıkarma - Doruk Estetik</t>
        </is>
      </c>
      <c r="G97" s="84" t="n">
        <v>549.1</v>
      </c>
      <c r="H97" s="47" t="inlineStr">
        <is>
          <t>Instagram profili ziyaretleri</t>
        </is>
      </c>
      <c r="I97" s="50" t="n">
        <v>108</v>
      </c>
      <c r="J97" s="50" t="n">
        <v>4340</v>
      </c>
      <c r="K97" s="50" t="n">
        <v>4563</v>
      </c>
    </row>
    <row r="98">
      <c r="A98" s="43" t="inlineStr">
        <is>
          <t>Doruk Estetik &amp; Saç Ekimi</t>
        </is>
      </c>
      <c r="B98" s="43" t="inlineStr">
        <is>
          <t>Instagram gönderisi: Medikal estetik alanındaki...</t>
        </is>
      </c>
      <c r="C98" s="46" t="inlineStr">
        <is>
          <t>2026-07-04</t>
        </is>
      </c>
      <c r="D98" s="43" t="inlineStr">
        <is>
          <t>Estetik Marka</t>
        </is>
      </c>
      <c r="E98" s="43" t="inlineStr">
        <is>
          <t>Instagram Öne Çıkarma</t>
        </is>
      </c>
      <c r="F98" s="43" t="inlineStr">
        <is>
          <t>Öne Çıkarma - Doruk Estetik</t>
        </is>
      </c>
      <c r="G98" s="83" t="n">
        <v>540.74</v>
      </c>
      <c r="H98" s="43" t="inlineStr">
        <is>
          <t>Instagram profili ziyaretleri</t>
        </is>
      </c>
      <c r="I98" s="46" t="n">
        <v>145</v>
      </c>
      <c r="J98" s="46" t="n">
        <v>8795</v>
      </c>
      <c r="K98" s="46" t="n">
        <v>9042</v>
      </c>
    </row>
    <row r="99">
      <c r="A99" s="47" t="inlineStr">
        <is>
          <t>Doruk Estetik &amp; Saç Ekimi</t>
        </is>
      </c>
      <c r="B99" s="47" t="inlineStr">
        <is>
          <t>Instagram gönderisi: Medikal estetik alanındaki...</t>
        </is>
      </c>
      <c r="C99" s="50" t="inlineStr">
        <is>
          <t>2026-06-28</t>
        </is>
      </c>
      <c r="D99" s="47" t="inlineStr">
        <is>
          <t>Estetik Marka</t>
        </is>
      </c>
      <c r="E99" s="47" t="inlineStr">
        <is>
          <t>Instagram Öne Çıkarma</t>
        </is>
      </c>
      <c r="F99" s="47" t="inlineStr">
        <is>
          <t>Öne Çıkarma - Doruk Estetik</t>
        </is>
      </c>
      <c r="G99" s="84" t="n">
        <v>540.6</v>
      </c>
      <c r="H99" s="47" t="inlineStr">
        <is>
          <t>Instagram profili ziyaretleri</t>
        </is>
      </c>
      <c r="I99" s="50" t="n">
        <v>113</v>
      </c>
      <c r="J99" s="50" t="n">
        <v>5325</v>
      </c>
      <c r="K99" s="50" t="n">
        <v>5480</v>
      </c>
    </row>
    <row r="100">
      <c r="A100" s="43" t="inlineStr">
        <is>
          <t>Doruk Estetik &amp; Saç Ekimi</t>
        </is>
      </c>
      <c r="B100" s="43" t="inlineStr">
        <is>
          <t>Instagram gönderisi: Kilo verirken yüzünüzde...</t>
        </is>
      </c>
      <c r="C100" s="46" t="inlineStr">
        <is>
          <t>2026-07-01</t>
        </is>
      </c>
      <c r="D100" s="43" t="inlineStr">
        <is>
          <t>Estetik Marka</t>
        </is>
      </c>
      <c r="E100" s="43" t="inlineStr">
        <is>
          <t>Instagram Öne Çıkarma</t>
        </is>
      </c>
      <c r="F100" s="43" t="inlineStr">
        <is>
          <t>Öne Çıkarma - Doruk Estetik</t>
        </is>
      </c>
      <c r="G100" s="83" t="n">
        <v>533.6900000000001</v>
      </c>
      <c r="H100" s="43" t="inlineStr">
        <is>
          <t>Instagram profili ziyaretleri</t>
        </is>
      </c>
      <c r="I100" s="46" t="n">
        <v>103</v>
      </c>
      <c r="J100" s="46" t="n">
        <v>2591</v>
      </c>
      <c r="K100" s="46" t="n">
        <v>2760</v>
      </c>
    </row>
    <row r="101">
      <c r="A101" s="47" t="inlineStr">
        <is>
          <t>Doruk Estetik &amp; Saç Ekimi</t>
        </is>
      </c>
      <c r="B101" s="47" t="inlineStr">
        <is>
          <t>Instagram gönderisi: Yüz bölgesine yapılan...</t>
        </is>
      </c>
      <c r="C101" s="50" t="inlineStr">
        <is>
          <t>2026-07-01</t>
        </is>
      </c>
      <c r="D101" s="47" t="inlineStr">
        <is>
          <t>Estetik Marka</t>
        </is>
      </c>
      <c r="E101" s="47" t="inlineStr">
        <is>
          <t>Instagram Öne Çıkarma</t>
        </is>
      </c>
      <c r="F101" s="47" t="inlineStr">
        <is>
          <t>Öne Çıkarma - Doruk Estetik</t>
        </is>
      </c>
      <c r="G101" s="84" t="n">
        <v>525.95</v>
      </c>
      <c r="H101" s="47" t="inlineStr">
        <is>
          <t>Instagram profili ziyaretleri</t>
        </is>
      </c>
      <c r="I101" s="50" t="n">
        <v>103</v>
      </c>
      <c r="J101" s="50" t="n">
        <v>2313</v>
      </c>
      <c r="K101" s="50" t="n">
        <v>2582</v>
      </c>
    </row>
    <row r="102">
      <c r="A102" s="43" t="inlineStr">
        <is>
          <t>Doruk Estetik &amp; Saç Ekimi</t>
        </is>
      </c>
      <c r="B102" s="43" t="inlineStr">
        <is>
          <t>Instagram gönderisi: Kilo verirken yüzünüzde...</t>
        </is>
      </c>
      <c r="C102" s="46" t="inlineStr">
        <is>
          <t>2026-07-04</t>
        </is>
      </c>
      <c r="D102" s="43" t="inlineStr">
        <is>
          <t>Estetik Marka</t>
        </is>
      </c>
      <c r="E102" s="43" t="inlineStr">
        <is>
          <t>Instagram Öne Çıkarma</t>
        </is>
      </c>
      <c r="F102" s="43" t="inlineStr">
        <is>
          <t>Öne Çıkarma - Doruk Estetik</t>
        </is>
      </c>
      <c r="G102" s="83" t="n">
        <v>524.15</v>
      </c>
      <c r="H102" s="43" t="inlineStr">
        <is>
          <t>Instagram profili ziyaretleri</t>
        </is>
      </c>
      <c r="I102" s="46" t="n">
        <v>58</v>
      </c>
      <c r="J102" s="46" t="n">
        <v>2678</v>
      </c>
      <c r="K102" s="46" t="n">
        <v>2869</v>
      </c>
    </row>
    <row r="103">
      <c r="A103" s="47" t="inlineStr">
        <is>
          <t>Doruk Estetik &amp; Saç Ekimi</t>
        </is>
      </c>
      <c r="B103" s="47" t="inlineStr">
        <is>
          <t>Instagram gönderisi: Jinekomasti her zaman...</t>
        </is>
      </c>
      <c r="C103" s="50" t="inlineStr">
        <is>
          <t>2026-07-04</t>
        </is>
      </c>
      <c r="D103" s="47" t="inlineStr">
        <is>
          <t>Estetik Marka</t>
        </is>
      </c>
      <c r="E103" s="47" t="inlineStr">
        <is>
          <t>Instagram Öne Çıkarma</t>
        </is>
      </c>
      <c r="F103" s="47" t="inlineStr">
        <is>
          <t>Öne Çıkarma - Doruk Estetik</t>
        </is>
      </c>
      <c r="G103" s="84" t="n">
        <v>523.61</v>
      </c>
      <c r="H103" s="47" t="inlineStr">
        <is>
          <t>Instagram profili ziyaretleri</t>
        </is>
      </c>
      <c r="I103" s="50" t="n">
        <v>67</v>
      </c>
      <c r="J103" s="50" t="n">
        <v>4991</v>
      </c>
      <c r="K103" s="50" t="n">
        <v>5011</v>
      </c>
    </row>
    <row r="104">
      <c r="A104" s="43" t="inlineStr">
        <is>
          <t>Doruk Estetik &amp; Saç Ekimi</t>
        </is>
      </c>
      <c r="B104" s="43" t="inlineStr">
        <is>
          <t>Instagram gönderisi: Medikal estetik alanındaki...</t>
        </is>
      </c>
      <c r="C104" s="46" t="inlineStr">
        <is>
          <t>2026-07-15</t>
        </is>
      </c>
      <c r="D104" s="43" t="inlineStr">
        <is>
          <t>Estetik Marka</t>
        </is>
      </c>
      <c r="E104" s="43" t="inlineStr">
        <is>
          <t>Instagram Öne Çıkarma</t>
        </is>
      </c>
      <c r="F104" s="43" t="inlineStr">
        <is>
          <t>Öne Çıkarma - Doruk Estetik</t>
        </is>
      </c>
      <c r="G104" s="83" t="n">
        <v>518.64</v>
      </c>
      <c r="H104" s="43" t="inlineStr">
        <is>
          <t>Instagram profili ziyaretleri</t>
        </is>
      </c>
      <c r="I104" s="46" t="n">
        <v>123</v>
      </c>
      <c r="J104" s="46" t="n">
        <v>10028</v>
      </c>
      <c r="K104" s="46" t="n">
        <v>10352</v>
      </c>
    </row>
    <row r="105">
      <c r="A105" s="47" t="inlineStr">
        <is>
          <t>Doruk Estetik &amp; Saç Ekimi</t>
        </is>
      </c>
      <c r="B105" s="47" t="inlineStr">
        <is>
          <t>Instagram gönderisi: Medikal estetik alanındaki...</t>
        </is>
      </c>
      <c r="C105" s="50" t="inlineStr">
        <is>
          <t>2026-07-02</t>
        </is>
      </c>
      <c r="D105" s="47" t="inlineStr">
        <is>
          <t>Estetik Marka</t>
        </is>
      </c>
      <c r="E105" s="47" t="inlineStr">
        <is>
          <t>Instagram Öne Çıkarma</t>
        </is>
      </c>
      <c r="F105" s="47" t="inlineStr">
        <is>
          <t>Öne Çıkarma - Doruk Estetik</t>
        </is>
      </c>
      <c r="G105" s="84" t="n">
        <v>516.7</v>
      </c>
      <c r="H105" s="47" t="inlineStr">
        <is>
          <t>Instagram profili ziyaretleri</t>
        </is>
      </c>
      <c r="I105" s="50" t="n">
        <v>141</v>
      </c>
      <c r="J105" s="50" t="n">
        <v>7788</v>
      </c>
      <c r="K105" s="50" t="n">
        <v>8151</v>
      </c>
    </row>
    <row r="106">
      <c r="A106" s="43" t="inlineStr">
        <is>
          <t>Doruk Estetik &amp; Saç Ekimi</t>
        </is>
      </c>
      <c r="B106" s="43" t="inlineStr">
        <is>
          <t>Instagram gönderisi: Medikal estetik alanındaki...</t>
        </is>
      </c>
      <c r="C106" s="46" t="inlineStr">
        <is>
          <t>2026-07-03</t>
        </is>
      </c>
      <c r="D106" s="43" t="inlineStr">
        <is>
          <t>Estetik Marka</t>
        </is>
      </c>
      <c r="E106" s="43" t="inlineStr">
        <is>
          <t>Instagram Öne Çıkarma</t>
        </is>
      </c>
      <c r="F106" s="43" t="inlineStr">
        <is>
          <t>Öne Çıkarma - Doruk Estetik</t>
        </is>
      </c>
      <c r="G106" s="83" t="n">
        <v>516.08</v>
      </c>
      <c r="H106" s="43" t="inlineStr">
        <is>
          <t>Instagram profili ziyaretleri</t>
        </is>
      </c>
      <c r="I106" s="46" t="n">
        <v>154</v>
      </c>
      <c r="J106" s="46" t="n">
        <v>7794</v>
      </c>
      <c r="K106" s="46" t="n">
        <v>8408</v>
      </c>
    </row>
    <row r="107">
      <c r="A107" s="47" t="inlineStr">
        <is>
          <t>Doruk Estetik &amp; Saç Ekimi</t>
        </is>
      </c>
      <c r="B107" s="47" t="inlineStr">
        <is>
          <t>Instagram gönderisi: Kulak görünümünüz nedeniyle...</t>
        </is>
      </c>
      <c r="C107" s="50" t="inlineStr">
        <is>
          <t>2026-07-02</t>
        </is>
      </c>
      <c r="D107" s="47" t="inlineStr">
        <is>
          <t>Estetik Marka</t>
        </is>
      </c>
      <c r="E107" s="47" t="inlineStr">
        <is>
          <t>Instagram Öne Çıkarma</t>
        </is>
      </c>
      <c r="F107" s="47" t="inlineStr">
        <is>
          <t>Öne Çıkarma - Doruk Estetik</t>
        </is>
      </c>
      <c r="G107" s="84" t="n">
        <v>515.1900000000001</v>
      </c>
      <c r="H107" s="47" t="inlineStr">
        <is>
          <t>Instagram profili ziyaretleri</t>
        </is>
      </c>
      <c r="I107" s="50" t="n">
        <v>130</v>
      </c>
      <c r="J107" s="50" t="n">
        <v>8097</v>
      </c>
      <c r="K107" s="50" t="n">
        <v>8833</v>
      </c>
    </row>
    <row r="108">
      <c r="A108" s="43" t="inlineStr">
        <is>
          <t>Doruk Estetik &amp; Saç Ekimi</t>
        </is>
      </c>
      <c r="B108" s="43" t="inlineStr">
        <is>
          <t>Instagram gönderisi: Kulak görünümünüz nedeniyle...</t>
        </is>
      </c>
      <c r="C108" s="46" t="inlineStr">
        <is>
          <t>2026-07-03</t>
        </is>
      </c>
      <c r="D108" s="43" t="inlineStr">
        <is>
          <t>Estetik Marka</t>
        </is>
      </c>
      <c r="E108" s="43" t="inlineStr">
        <is>
          <t>Instagram Öne Çıkarma</t>
        </is>
      </c>
      <c r="F108" s="43" t="inlineStr">
        <is>
          <t>Öne Çıkarma - Doruk Estetik</t>
        </is>
      </c>
      <c r="G108" s="83" t="n">
        <v>512.61</v>
      </c>
      <c r="H108" s="43" t="inlineStr">
        <is>
          <t>Instagram profili ziyaretleri</t>
        </is>
      </c>
      <c r="I108" s="46" t="n">
        <v>132</v>
      </c>
      <c r="J108" s="46" t="n">
        <v>11304</v>
      </c>
      <c r="K108" s="46" t="n">
        <v>11996</v>
      </c>
    </row>
    <row r="109">
      <c r="A109" s="47" t="inlineStr">
        <is>
          <t>Doruk Estetik &amp; Saç Ekimi</t>
        </is>
      </c>
      <c r="B109" s="47" t="inlineStr">
        <is>
          <t>Instagram gönderisi: Yüz bölgesine yapılan...</t>
        </is>
      </c>
      <c r="C109" s="50" t="inlineStr">
        <is>
          <t>2026-07-04</t>
        </is>
      </c>
      <c r="D109" s="47" t="inlineStr">
        <is>
          <t>Estetik Marka</t>
        </is>
      </c>
      <c r="E109" s="47" t="inlineStr">
        <is>
          <t>Instagram Öne Çıkarma</t>
        </is>
      </c>
      <c r="F109" s="47" t="inlineStr">
        <is>
          <t>Öne Çıkarma - Doruk Estetik</t>
        </is>
      </c>
      <c r="G109" s="84" t="n">
        <v>509.32</v>
      </c>
      <c r="H109" s="47" t="inlineStr">
        <is>
          <t>Instagram profili ziyaretleri</t>
        </is>
      </c>
      <c r="I109" s="50" t="n">
        <v>102</v>
      </c>
      <c r="J109" s="50" t="n">
        <v>2521</v>
      </c>
      <c r="K109" s="50" t="n">
        <v>2638</v>
      </c>
    </row>
    <row r="110">
      <c r="A110" s="43" t="inlineStr">
        <is>
          <t>Doruk Estetik &amp; Saç Ekimi</t>
        </is>
      </c>
      <c r="B110" s="43" t="inlineStr">
        <is>
          <t>Instagram gönderisi: Jinekomasti her zaman...</t>
        </is>
      </c>
      <c r="C110" s="46" t="inlineStr">
        <is>
          <t>2026-07-03</t>
        </is>
      </c>
      <c r="D110" s="43" t="inlineStr">
        <is>
          <t>Estetik Marka</t>
        </is>
      </c>
      <c r="E110" s="43" t="inlineStr">
        <is>
          <t>Instagram Öne Çıkarma</t>
        </is>
      </c>
      <c r="F110" s="43" t="inlineStr">
        <is>
          <t>Öne Çıkarma - Doruk Estetik</t>
        </is>
      </c>
      <c r="G110" s="83" t="n">
        <v>506.18</v>
      </c>
      <c r="H110" s="43" t="inlineStr">
        <is>
          <t>Instagram profili ziyaretleri</t>
        </is>
      </c>
      <c r="I110" s="46" t="n">
        <v>86</v>
      </c>
      <c r="J110" s="46" t="n">
        <v>4324</v>
      </c>
      <c r="K110" s="46" t="n">
        <v>4618</v>
      </c>
    </row>
    <row r="111">
      <c r="A111" s="47" t="inlineStr">
        <is>
          <t>Doruk Estetik &amp; Saç Ekimi</t>
        </is>
      </c>
      <c r="B111" s="47" t="inlineStr">
        <is>
          <t>Instagram gönderisi: Kilo verirken yüzünüzde...</t>
        </is>
      </c>
      <c r="C111" s="50" t="inlineStr">
        <is>
          <t>2026-07-03</t>
        </is>
      </c>
      <c r="D111" s="47" t="inlineStr">
        <is>
          <t>Estetik Marka</t>
        </is>
      </c>
      <c r="E111" s="47" t="inlineStr">
        <is>
          <t>Instagram Öne Çıkarma</t>
        </is>
      </c>
      <c r="F111" s="47" t="inlineStr">
        <is>
          <t>Öne Çıkarma - Doruk Estetik</t>
        </is>
      </c>
      <c r="G111" s="84" t="n">
        <v>495.38</v>
      </c>
      <c r="H111" s="47" t="inlineStr">
        <is>
          <t>Instagram profili ziyaretleri</t>
        </is>
      </c>
      <c r="I111" s="50" t="n">
        <v>90</v>
      </c>
      <c r="J111" s="50" t="n">
        <v>2243</v>
      </c>
      <c r="K111" s="50" t="n">
        <v>2398</v>
      </c>
    </row>
    <row r="112">
      <c r="A112" s="43" t="inlineStr">
        <is>
          <t>Doruk Estetik &amp; Saç Ekimi</t>
        </is>
      </c>
      <c r="B112" s="43" t="inlineStr">
        <is>
          <t>Instagram gönderisi: Jinekomasti her zaman...</t>
        </is>
      </c>
      <c r="C112" s="46" t="inlineStr">
        <is>
          <t>2026-07-02</t>
        </is>
      </c>
      <c r="D112" s="43" t="inlineStr">
        <is>
          <t>Estetik Marka</t>
        </is>
      </c>
      <c r="E112" s="43" t="inlineStr">
        <is>
          <t>Instagram Öne Çıkarma</t>
        </is>
      </c>
      <c r="F112" s="43" t="inlineStr">
        <is>
          <t>Öne Çıkarma - Doruk Estetik</t>
        </is>
      </c>
      <c r="G112" s="83" t="n">
        <v>494.61</v>
      </c>
      <c r="H112" s="43" t="inlineStr">
        <is>
          <t>Instagram profili ziyaretleri</t>
        </is>
      </c>
      <c r="I112" s="46" t="n">
        <v>80</v>
      </c>
      <c r="J112" s="46" t="n">
        <v>4053</v>
      </c>
      <c r="K112" s="46" t="n">
        <v>4305</v>
      </c>
    </row>
    <row r="113">
      <c r="A113" s="47" t="inlineStr">
        <is>
          <t>Doruk Estetik &amp; Saç Ekimi</t>
        </is>
      </c>
      <c r="B113" s="47" t="inlineStr">
        <is>
          <t>Instagram gönderisi: Kulak görünümünüz nedeniyle...</t>
        </is>
      </c>
      <c r="C113" s="50" t="inlineStr">
        <is>
          <t>2026-07-04</t>
        </is>
      </c>
      <c r="D113" s="47" t="inlineStr">
        <is>
          <t>Estetik Marka</t>
        </is>
      </c>
      <c r="E113" s="47" t="inlineStr">
        <is>
          <t>Instagram Öne Çıkarma</t>
        </is>
      </c>
      <c r="F113" s="47" t="inlineStr">
        <is>
          <t>Öne Çıkarma - Doruk Estetik</t>
        </is>
      </c>
      <c r="G113" s="84" t="n">
        <v>493.94</v>
      </c>
      <c r="H113" s="47" t="inlineStr">
        <is>
          <t>Instagram profili ziyaretleri</t>
        </is>
      </c>
      <c r="I113" s="50" t="n">
        <v>85</v>
      </c>
      <c r="J113" s="50" t="n">
        <v>11112</v>
      </c>
      <c r="K113" s="50" t="n">
        <v>11235</v>
      </c>
    </row>
    <row r="114">
      <c r="A114" s="43" t="inlineStr">
        <is>
          <t>Doruk Estetik &amp; Saç Ekimi</t>
        </is>
      </c>
      <c r="B114" s="43" t="inlineStr">
        <is>
          <t>Instagram gönderisi: Jinekomasti her zaman...</t>
        </is>
      </c>
      <c r="C114" s="46" t="inlineStr">
        <is>
          <t>2026-07-01</t>
        </is>
      </c>
      <c r="D114" s="43" t="inlineStr">
        <is>
          <t>Estetik Marka</t>
        </is>
      </c>
      <c r="E114" s="43" t="inlineStr">
        <is>
          <t>Instagram Öne Çıkarma</t>
        </is>
      </c>
      <c r="F114" s="43" t="inlineStr">
        <is>
          <t>Öne Çıkarma - Doruk Estetik</t>
        </is>
      </c>
      <c r="G114" s="83" t="n">
        <v>492.61</v>
      </c>
      <c r="H114" s="43" t="inlineStr">
        <is>
          <t>Instagram profili ziyaretleri</t>
        </is>
      </c>
      <c r="I114" s="46" t="n">
        <v>90</v>
      </c>
      <c r="J114" s="46" t="n">
        <v>4135</v>
      </c>
      <c r="K114" s="46" t="n">
        <v>4377</v>
      </c>
    </row>
    <row r="115">
      <c r="A115" s="47" t="inlineStr">
        <is>
          <t>Doruk Estetik &amp; Saç Ekimi</t>
        </is>
      </c>
      <c r="B115" s="47" t="inlineStr">
        <is>
          <t>Instagram gönderisi: Yüz bölgesine yapılan...</t>
        </is>
      </c>
      <c r="C115" s="50" t="inlineStr">
        <is>
          <t>2026-07-03</t>
        </is>
      </c>
      <c r="D115" s="47" t="inlineStr">
        <is>
          <t>Estetik Marka</t>
        </is>
      </c>
      <c r="E115" s="47" t="inlineStr">
        <is>
          <t>Instagram Öne Çıkarma</t>
        </is>
      </c>
      <c r="F115" s="47" t="inlineStr">
        <is>
          <t>Öne Çıkarma - Doruk Estetik</t>
        </is>
      </c>
      <c r="G115" s="84" t="n">
        <v>489.24</v>
      </c>
      <c r="H115" s="47" t="inlineStr">
        <is>
          <t>Instagram profili ziyaretleri</t>
        </is>
      </c>
      <c r="I115" s="50" t="n">
        <v>115</v>
      </c>
      <c r="J115" s="50" t="n">
        <v>2178</v>
      </c>
      <c r="K115" s="50" t="n">
        <v>2450</v>
      </c>
    </row>
    <row r="116">
      <c r="A116" s="43" t="inlineStr">
        <is>
          <t>Doruk Estetik &amp; Saç Ekimi</t>
        </is>
      </c>
      <c r="B116" s="43" t="inlineStr">
        <is>
          <t>Instagram gönderisi: Yüz bölgesine yapılan...</t>
        </is>
      </c>
      <c r="C116" s="46" t="inlineStr">
        <is>
          <t>2026-07-02</t>
        </is>
      </c>
      <c r="D116" s="43" t="inlineStr">
        <is>
          <t>Estetik Marka</t>
        </is>
      </c>
      <c r="E116" s="43" t="inlineStr">
        <is>
          <t>Instagram Öne Çıkarma</t>
        </is>
      </c>
      <c r="F116" s="43" t="inlineStr">
        <is>
          <t>Öne Çıkarma - Doruk Estetik</t>
        </is>
      </c>
      <c r="G116" s="83" t="n">
        <v>477.84</v>
      </c>
      <c r="H116" s="43" t="inlineStr">
        <is>
          <t>Instagram profili ziyaretleri</t>
        </is>
      </c>
      <c r="I116" s="46" t="n">
        <v>103</v>
      </c>
      <c r="J116" s="46" t="n">
        <v>1830</v>
      </c>
      <c r="K116" s="46" t="n">
        <v>1996</v>
      </c>
    </row>
    <row r="117">
      <c r="A117" s="47" t="inlineStr">
        <is>
          <t>Doruk Estetik &amp; Saç Ekimi</t>
        </is>
      </c>
      <c r="B117" s="47" t="inlineStr">
        <is>
          <t>Instagram gönderisi: Medikal estetik alanındaki...</t>
        </is>
      </c>
      <c r="C117" s="50" t="inlineStr">
        <is>
          <t>2026-07-17</t>
        </is>
      </c>
      <c r="D117" s="47" t="inlineStr">
        <is>
          <t>Estetik Marka</t>
        </is>
      </c>
      <c r="E117" s="47" t="inlineStr">
        <is>
          <t>Instagram Öne Çıkarma</t>
        </is>
      </c>
      <c r="F117" s="47" t="inlineStr">
        <is>
          <t>Öne Çıkarma - Doruk Estetik</t>
        </is>
      </c>
      <c r="G117" s="84" t="n">
        <v>457.54</v>
      </c>
      <c r="H117" s="47" t="inlineStr">
        <is>
          <t>Instagram profili ziyaretleri</t>
        </is>
      </c>
      <c r="I117" s="50" t="n">
        <v>111</v>
      </c>
      <c r="J117" s="50" t="n">
        <v>6216</v>
      </c>
      <c r="K117" s="50" t="n">
        <v>6365</v>
      </c>
    </row>
    <row r="118">
      <c r="A118" s="43" t="inlineStr">
        <is>
          <t>Doruk Estetik &amp; Saç Ekimi</t>
        </is>
      </c>
      <c r="B118" s="43" t="inlineStr">
        <is>
          <t>Instagram gönderisi: Medikal estetik alanındaki...</t>
        </is>
      </c>
      <c r="C118" s="46" t="inlineStr">
        <is>
          <t>2026-06-23</t>
        </is>
      </c>
      <c r="D118" s="43" t="inlineStr">
        <is>
          <t>Estetik Marka</t>
        </is>
      </c>
      <c r="E118" s="43" t="inlineStr">
        <is>
          <t>Instagram Öne Çıkarma</t>
        </is>
      </c>
      <c r="F118" s="43" t="inlineStr">
        <is>
          <t>Öne Çıkarma - Doruk Estetik</t>
        </is>
      </c>
      <c r="G118" s="83" t="n">
        <v>446.37</v>
      </c>
      <c r="H118" s="43" t="inlineStr">
        <is>
          <t>Instagram profili ziyaretleri</t>
        </is>
      </c>
      <c r="I118" s="46" t="n">
        <v>81</v>
      </c>
      <c r="J118" s="46" t="n">
        <v>6046</v>
      </c>
      <c r="K118" s="46" t="n">
        <v>6355</v>
      </c>
    </row>
    <row r="119">
      <c r="A119" s="47" t="inlineStr">
        <is>
          <t>Doruk Estetik &amp; Saç Ekimi</t>
        </is>
      </c>
      <c r="B119" s="47" t="inlineStr">
        <is>
          <t>Instagram gönderisi: Medikal estetik alanındaki...</t>
        </is>
      </c>
      <c r="C119" s="50" t="inlineStr">
        <is>
          <t>2026-06-30</t>
        </is>
      </c>
      <c r="D119" s="47" t="inlineStr">
        <is>
          <t>Estetik Marka</t>
        </is>
      </c>
      <c r="E119" s="47" t="inlineStr">
        <is>
          <t>Instagram Öne Çıkarma</t>
        </is>
      </c>
      <c r="F119" s="47" t="inlineStr">
        <is>
          <t>Öne Çıkarma - Doruk Estetik</t>
        </is>
      </c>
      <c r="G119" s="84" t="n">
        <v>421.81</v>
      </c>
      <c r="H119" s="47" t="inlineStr">
        <is>
          <t>Instagram profili ziyaretleri</t>
        </is>
      </c>
      <c r="I119" s="50" t="n">
        <v>110</v>
      </c>
      <c r="J119" s="50" t="n">
        <v>4645</v>
      </c>
      <c r="K119" s="50" t="n">
        <v>4917</v>
      </c>
    </row>
    <row r="120">
      <c r="A120" s="43" t="inlineStr">
        <is>
          <t>Doruk Estetik &amp; Saç Ekimi</t>
        </is>
      </c>
      <c r="B120" s="43" t="inlineStr">
        <is>
          <t>Instagram gönderisi: Kilo verirken yüzünüzde...</t>
        </is>
      </c>
      <c r="C120" s="46" t="inlineStr">
        <is>
          <t>2026-06-30</t>
        </is>
      </c>
      <c r="D120" s="43" t="inlineStr">
        <is>
          <t>Estetik Marka</t>
        </is>
      </c>
      <c r="E120" s="43" t="inlineStr">
        <is>
          <t>Instagram Öne Çıkarma</t>
        </is>
      </c>
      <c r="F120" s="43" t="inlineStr">
        <is>
          <t>Öne Çıkarma - Doruk Estetik</t>
        </is>
      </c>
      <c r="G120" s="83" t="n">
        <v>418.88</v>
      </c>
      <c r="H120" s="43" t="inlineStr">
        <is>
          <t>Instagram profili ziyaretleri</t>
        </is>
      </c>
      <c r="I120" s="46" t="n">
        <v>68</v>
      </c>
      <c r="J120" s="46" t="n">
        <v>1860</v>
      </c>
      <c r="K120" s="46" t="n">
        <v>2040</v>
      </c>
    </row>
    <row r="121">
      <c r="A121" s="47" t="inlineStr">
        <is>
          <t>Doruk Estetik &amp; Saç Ekimi</t>
        </is>
      </c>
      <c r="B121" s="47" t="inlineStr">
        <is>
          <t>Instagram gönderisi: Kilo verirken yüzünüzde...</t>
        </is>
      </c>
      <c r="C121" s="50" t="inlineStr">
        <is>
          <t>2026-07-02</t>
        </is>
      </c>
      <c r="D121" s="47" t="inlineStr">
        <is>
          <t>Estetik Marka</t>
        </is>
      </c>
      <c r="E121" s="47" t="inlineStr">
        <is>
          <t>Instagram Öne Çıkarma</t>
        </is>
      </c>
      <c r="F121" s="47" t="inlineStr">
        <is>
          <t>Öne Çıkarma - Doruk Estetik</t>
        </is>
      </c>
      <c r="G121" s="84" t="n">
        <v>413.3</v>
      </c>
      <c r="H121" s="47" t="inlineStr">
        <is>
          <t>Instagram profili ziyaretleri</t>
        </is>
      </c>
      <c r="I121" s="50" t="n">
        <v>52</v>
      </c>
      <c r="J121" s="50" t="n">
        <v>1655</v>
      </c>
      <c r="K121" s="50" t="n">
        <v>1715</v>
      </c>
    </row>
    <row r="122">
      <c r="A122" s="43" t="inlineStr">
        <is>
          <t>Doruk Estetik &amp; Saç Ekimi</t>
        </is>
      </c>
      <c r="B122" s="43" t="inlineStr">
        <is>
          <t>Instagram gönderisi: Medikal estetik alanındaki...</t>
        </is>
      </c>
      <c r="C122" s="46" t="inlineStr">
        <is>
          <t>2026-07-13</t>
        </is>
      </c>
      <c r="D122" s="43" t="inlineStr">
        <is>
          <t>Estetik Marka</t>
        </is>
      </c>
      <c r="E122" s="43" t="inlineStr">
        <is>
          <t>Instagram Öne Çıkarma</t>
        </is>
      </c>
      <c r="F122" s="43" t="inlineStr">
        <is>
          <t>Öne Çıkarma - Doruk Estetik</t>
        </is>
      </c>
      <c r="G122" s="83" t="n">
        <v>397.66</v>
      </c>
      <c r="H122" s="43" t="inlineStr">
        <is>
          <t>Instagram profili ziyaretleri</t>
        </is>
      </c>
      <c r="I122" s="46" t="n">
        <v>99</v>
      </c>
      <c r="J122" s="46" t="n">
        <v>7506</v>
      </c>
      <c r="K122" s="46" t="n">
        <v>7942</v>
      </c>
    </row>
    <row r="123">
      <c r="A123" s="47" t="inlineStr">
        <is>
          <t>Doruk Estetik &amp; Saç Ekimi</t>
        </is>
      </c>
      <c r="B123" s="47" t="inlineStr">
        <is>
          <t>Instagram gönderisi: Kulak görünümünüz nedeniyle...</t>
        </is>
      </c>
      <c r="C123" s="50" t="inlineStr">
        <is>
          <t>2026-06-30</t>
        </is>
      </c>
      <c r="D123" s="47" t="inlineStr">
        <is>
          <t>Estetik Marka</t>
        </is>
      </c>
      <c r="E123" s="47" t="inlineStr">
        <is>
          <t>Instagram Öne Çıkarma</t>
        </is>
      </c>
      <c r="F123" s="47" t="inlineStr">
        <is>
          <t>Öne Çıkarma - Doruk Estetik</t>
        </is>
      </c>
      <c r="G123" s="84" t="n">
        <v>394.54</v>
      </c>
      <c r="H123" s="47" t="inlineStr">
        <is>
          <t>Instagram profili ziyaretleri</t>
        </is>
      </c>
      <c r="I123" s="50" t="n">
        <v>53</v>
      </c>
      <c r="J123" s="50" t="n">
        <v>1943</v>
      </c>
      <c r="K123" s="50" t="n">
        <v>2234</v>
      </c>
    </row>
    <row r="124">
      <c r="A124" s="43" t="inlineStr">
        <is>
          <t>Doruk Estetik &amp; Saç Ekimi</t>
        </is>
      </c>
      <c r="B124" s="43" t="inlineStr">
        <is>
          <t>Instagram gönderisi: Kilo verirken yüzünüzde...</t>
        </is>
      </c>
      <c r="C124" s="46" t="inlineStr">
        <is>
          <t>2026-07-09</t>
        </is>
      </c>
      <c r="D124" s="43" t="inlineStr">
        <is>
          <t>Estetik Marka</t>
        </is>
      </c>
      <c r="E124" s="43" t="inlineStr">
        <is>
          <t>Instagram Öne Çıkarma</t>
        </is>
      </c>
      <c r="F124" s="43" t="inlineStr">
        <is>
          <t>Öne Çıkarma - Doruk Estetik</t>
        </is>
      </c>
      <c r="G124" s="83" t="n">
        <v>384.69</v>
      </c>
      <c r="H124" s="43" t="inlineStr">
        <is>
          <t>Instagram profili ziyaretleri</t>
        </is>
      </c>
      <c r="I124" s="46" t="n">
        <v>49</v>
      </c>
      <c r="J124" s="46" t="n">
        <v>2525</v>
      </c>
      <c r="K124" s="46" t="n">
        <v>2618</v>
      </c>
    </row>
    <row r="125">
      <c r="A125" s="47" t="inlineStr">
        <is>
          <t>Doruk Estetik &amp; Saç Ekimi</t>
        </is>
      </c>
      <c r="B125" s="47" t="inlineStr">
        <is>
          <t>Instagram gönderisi: Medikal estetik alanındaki...</t>
        </is>
      </c>
      <c r="C125" s="50" t="inlineStr">
        <is>
          <t>2026-07-09</t>
        </is>
      </c>
      <c r="D125" s="47" t="inlineStr">
        <is>
          <t>Estetik Marka</t>
        </is>
      </c>
      <c r="E125" s="47" t="inlineStr">
        <is>
          <t>Instagram Öne Çıkarma</t>
        </is>
      </c>
      <c r="F125" s="47" t="inlineStr">
        <is>
          <t>Öne Çıkarma - Doruk Estetik</t>
        </is>
      </c>
      <c r="G125" s="84" t="n">
        <v>383.82</v>
      </c>
      <c r="H125" s="47" t="inlineStr">
        <is>
          <t>Instagram profili ziyaretleri</t>
        </is>
      </c>
      <c r="I125" s="50" t="n">
        <v>91</v>
      </c>
      <c r="J125" s="50" t="n">
        <v>5779</v>
      </c>
      <c r="K125" s="50" t="n">
        <v>6225</v>
      </c>
    </row>
    <row r="126">
      <c r="A126" s="43" t="inlineStr">
        <is>
          <t>Doruk Estetik &amp; Saç Ekimi</t>
        </is>
      </c>
      <c r="B126" s="43" t="inlineStr">
        <is>
          <t>Instagram gönderisi: Medikal estetik alanındaki...</t>
        </is>
      </c>
      <c r="C126" s="46" t="inlineStr">
        <is>
          <t>2026-06-29</t>
        </is>
      </c>
      <c r="D126" s="43" t="inlineStr">
        <is>
          <t>Estetik Marka</t>
        </is>
      </c>
      <c r="E126" s="43" t="inlineStr">
        <is>
          <t>Instagram Öne Çıkarma</t>
        </is>
      </c>
      <c r="F126" s="43" t="inlineStr">
        <is>
          <t>Öne Çıkarma - Doruk Estetik</t>
        </is>
      </c>
      <c r="G126" s="83" t="n">
        <v>382.26</v>
      </c>
      <c r="H126" s="43" t="inlineStr">
        <is>
          <t>Instagram profili ziyaretleri</t>
        </is>
      </c>
      <c r="I126" s="46" t="n">
        <v>87</v>
      </c>
      <c r="J126" s="46" t="n">
        <v>3989</v>
      </c>
      <c r="K126" s="46" t="n">
        <v>4365</v>
      </c>
    </row>
    <row r="127">
      <c r="A127" s="47" t="inlineStr">
        <is>
          <t>Doruk Estetik &amp; Saç Ekimi</t>
        </is>
      </c>
      <c r="B127" s="47" t="inlineStr">
        <is>
          <t>Instagram gönderisi: Yüz bölgesine yapılan...</t>
        </is>
      </c>
      <c r="C127" s="50" t="inlineStr">
        <is>
          <t>2026-07-09</t>
        </is>
      </c>
      <c r="D127" s="47" t="inlineStr">
        <is>
          <t>Estetik Marka</t>
        </is>
      </c>
      <c r="E127" s="47" t="inlineStr">
        <is>
          <t>Instagram Öne Çıkarma</t>
        </is>
      </c>
      <c r="F127" s="47" t="inlineStr">
        <is>
          <t>Öne Çıkarma - Doruk Estetik</t>
        </is>
      </c>
      <c r="G127" s="84" t="n">
        <v>381.4</v>
      </c>
      <c r="H127" s="47" t="inlineStr">
        <is>
          <t>Instagram profili ziyaretleri</t>
        </is>
      </c>
      <c r="I127" s="50" t="n">
        <v>70</v>
      </c>
      <c r="J127" s="50" t="n">
        <v>1374</v>
      </c>
      <c r="K127" s="50" t="n">
        <v>1432</v>
      </c>
    </row>
    <row r="128">
      <c r="A128" s="43" t="inlineStr">
        <is>
          <t>Doruk Estetik &amp; Saç Ekimi</t>
        </is>
      </c>
      <c r="B128" s="43" t="inlineStr">
        <is>
          <t>Instagram gönderisi: Yüz bölgesine yapılan...</t>
        </is>
      </c>
      <c r="C128" s="46" t="inlineStr">
        <is>
          <t>2026-06-30</t>
        </is>
      </c>
      <c r="D128" s="43" t="inlineStr">
        <is>
          <t>Estetik Marka</t>
        </is>
      </c>
      <c r="E128" s="43" t="inlineStr">
        <is>
          <t>Instagram Öne Çıkarma</t>
        </is>
      </c>
      <c r="F128" s="43" t="inlineStr">
        <is>
          <t>Öne Çıkarma - Doruk Estetik</t>
        </is>
      </c>
      <c r="G128" s="83" t="n">
        <v>378.24</v>
      </c>
      <c r="H128" s="43" t="inlineStr">
        <is>
          <t>Instagram profili ziyaretleri</t>
        </is>
      </c>
      <c r="I128" s="46" t="n">
        <v>57</v>
      </c>
      <c r="J128" s="46" t="n">
        <v>1264</v>
      </c>
      <c r="K128" s="46" t="n">
        <v>1416</v>
      </c>
    </row>
    <row r="129">
      <c r="A129" s="47" t="inlineStr">
        <is>
          <t>Doruk Estetik &amp; Saç Ekimi</t>
        </is>
      </c>
      <c r="B129" s="47" t="inlineStr">
        <is>
          <t>Instagram gönderisi: Medikal estetik alanındaki...</t>
        </is>
      </c>
      <c r="C129" s="50" t="inlineStr">
        <is>
          <t>2026-07-20</t>
        </is>
      </c>
      <c r="D129" s="47" t="inlineStr">
        <is>
          <t>Estetik Marka</t>
        </is>
      </c>
      <c r="E129" s="47" t="inlineStr">
        <is>
          <t>Instagram Öne Çıkarma</t>
        </is>
      </c>
      <c r="F129" s="47" t="inlineStr">
        <is>
          <t>Öne Çıkarma - Doruk Estetik</t>
        </is>
      </c>
      <c r="G129" s="84" t="n">
        <v>365.35</v>
      </c>
      <c r="H129" s="47" t="inlineStr">
        <is>
          <t>Instagram profili ziyaretleri</t>
        </is>
      </c>
      <c r="I129" s="50" t="n">
        <v>107</v>
      </c>
      <c r="J129" s="50" t="n">
        <v>5704</v>
      </c>
      <c r="K129" s="50" t="n">
        <v>6050</v>
      </c>
    </row>
    <row r="130">
      <c r="A130" s="43" t="inlineStr">
        <is>
          <t>Doruk Estetik &amp; Saç Ekimi</t>
        </is>
      </c>
      <c r="B130" s="43" t="inlineStr">
        <is>
          <t>Instagram gönderisi: Jinekomasti her zaman...</t>
        </is>
      </c>
      <c r="C130" s="46" t="inlineStr">
        <is>
          <t>2026-07-09</t>
        </is>
      </c>
      <c r="D130" s="43" t="inlineStr">
        <is>
          <t>Estetik Marka</t>
        </is>
      </c>
      <c r="E130" s="43" t="inlineStr">
        <is>
          <t>Instagram Öne Çıkarma</t>
        </is>
      </c>
      <c r="F130" s="43" t="inlineStr">
        <is>
          <t>Öne Çıkarma - Doruk Estetik</t>
        </is>
      </c>
      <c r="G130" s="83" t="n">
        <v>364.22</v>
      </c>
      <c r="H130" s="43" t="inlineStr">
        <is>
          <t>Instagram profili ziyaretleri</t>
        </is>
      </c>
      <c r="I130" s="46" t="n">
        <v>46</v>
      </c>
      <c r="J130" s="46" t="n">
        <v>2946</v>
      </c>
      <c r="K130" s="46" t="n">
        <v>3108</v>
      </c>
    </row>
    <row r="131">
      <c r="A131" s="47" t="inlineStr">
        <is>
          <t>Doruk Estetik &amp; Saç Ekimi</t>
        </is>
      </c>
      <c r="B131" s="47" t="inlineStr">
        <is>
          <t>Instagram gönderisi: Kulak görünümünüz nedeniyle...</t>
        </is>
      </c>
      <c r="C131" s="50" t="inlineStr">
        <is>
          <t>2026-07-09</t>
        </is>
      </c>
      <c r="D131" s="47" t="inlineStr">
        <is>
          <t>Estetik Marka</t>
        </is>
      </c>
      <c r="E131" s="47" t="inlineStr">
        <is>
          <t>Instagram Öne Çıkarma</t>
        </is>
      </c>
      <c r="F131" s="47" t="inlineStr">
        <is>
          <t>Öne Çıkarma - Doruk Estetik</t>
        </is>
      </c>
      <c r="G131" s="84" t="n">
        <v>362.68</v>
      </c>
      <c r="H131" s="47" t="inlineStr">
        <is>
          <t>Instagram profili ziyaretleri</t>
        </is>
      </c>
      <c r="I131" s="50" t="n">
        <v>51</v>
      </c>
      <c r="J131" s="50" t="n">
        <v>6914</v>
      </c>
      <c r="K131" s="50" t="n">
        <v>7094</v>
      </c>
    </row>
    <row r="132">
      <c r="A132" s="43" t="inlineStr">
        <is>
          <t>Doruk Estetik &amp; Saç Ekimi</t>
        </is>
      </c>
      <c r="B132" s="43" t="inlineStr">
        <is>
          <t>Instagram gönderisi: Jinekomasti her zaman...</t>
        </is>
      </c>
      <c r="C132" s="46" t="inlineStr">
        <is>
          <t>2026-06-30</t>
        </is>
      </c>
      <c r="D132" s="43" t="inlineStr">
        <is>
          <t>Estetik Marka</t>
        </is>
      </c>
      <c r="E132" s="43" t="inlineStr">
        <is>
          <t>Instagram Öne Çıkarma</t>
        </is>
      </c>
      <c r="F132" s="43" t="inlineStr">
        <is>
          <t>Öne Çıkarma - Doruk Estetik</t>
        </is>
      </c>
      <c r="G132" s="83" t="n">
        <v>359.56</v>
      </c>
      <c r="H132" s="43" t="inlineStr">
        <is>
          <t>Instagram profili ziyaretleri</t>
        </is>
      </c>
      <c r="I132" s="46" t="n">
        <v>51</v>
      </c>
      <c r="J132" s="46" t="n">
        <v>1990</v>
      </c>
      <c r="K132" s="46" t="n">
        <v>2165</v>
      </c>
    </row>
    <row r="133">
      <c r="A133" s="47" t="inlineStr">
        <is>
          <t>Doruk Estetik &amp; Saç Ekimi</t>
        </is>
      </c>
      <c r="B133" s="47" t="inlineStr">
        <is>
          <t>Instagram gönderisi: Jinekomasti her zaman...</t>
        </is>
      </c>
      <c r="C133" s="50" t="inlineStr">
        <is>
          <t>2026-06-29</t>
        </is>
      </c>
      <c r="D133" s="47" t="inlineStr">
        <is>
          <t>Estetik Marka</t>
        </is>
      </c>
      <c r="E133" s="47" t="inlineStr">
        <is>
          <t>Instagram Öne Çıkarma</t>
        </is>
      </c>
      <c r="F133" s="47" t="inlineStr">
        <is>
          <t>Öne Çıkarma - Doruk Estetik</t>
        </is>
      </c>
      <c r="G133" s="84" t="n">
        <v>311.14</v>
      </c>
      <c r="H133" s="47" t="inlineStr">
        <is>
          <t>Instagram profili ziyaretleri</t>
        </is>
      </c>
      <c r="I133" s="50" t="n">
        <v>74</v>
      </c>
      <c r="J133" s="50" t="n">
        <v>2332</v>
      </c>
      <c r="K133" s="50" t="n">
        <v>2729</v>
      </c>
    </row>
    <row r="134">
      <c r="A134" s="43" t="inlineStr">
        <is>
          <t>Doruk Estetik &amp; Saç Ekimi</t>
        </is>
      </c>
      <c r="B134" s="43" t="inlineStr">
        <is>
          <t>Instagram gönderisi: Yüz bölgesine yapılan...</t>
        </is>
      </c>
      <c r="C134" s="46" t="inlineStr">
        <is>
          <t>2026-06-29</t>
        </is>
      </c>
      <c r="D134" s="43" t="inlineStr">
        <is>
          <t>Estetik Marka</t>
        </is>
      </c>
      <c r="E134" s="43" t="inlineStr">
        <is>
          <t>Instagram Öne Çıkarma</t>
        </is>
      </c>
      <c r="F134" s="43" t="inlineStr">
        <is>
          <t>Öne Çıkarma - Doruk Estetik</t>
        </is>
      </c>
      <c r="G134" s="83" t="n">
        <v>308.22</v>
      </c>
      <c r="H134" s="43" t="inlineStr">
        <is>
          <t>Instagram profili ziyaretleri</t>
        </is>
      </c>
      <c r="I134" s="46" t="n">
        <v>47</v>
      </c>
      <c r="J134" s="46" t="n">
        <v>1591</v>
      </c>
      <c r="K134" s="46" t="n">
        <v>1687</v>
      </c>
    </row>
    <row r="135">
      <c r="A135" s="47" t="inlineStr">
        <is>
          <t>Doruk Estetik &amp; Saç Ekimi</t>
        </is>
      </c>
      <c r="B135" s="47" t="inlineStr">
        <is>
          <t>Instagram gönderisi: Jinekomasti her zaman...</t>
        </is>
      </c>
      <c r="C135" s="50" t="inlineStr">
        <is>
          <t>2026-07-05</t>
        </is>
      </c>
      <c r="D135" s="47" t="inlineStr">
        <is>
          <t>Estetik Marka</t>
        </is>
      </c>
      <c r="E135" s="47" t="inlineStr">
        <is>
          <t>Instagram Öne Çıkarma</t>
        </is>
      </c>
      <c r="F135" s="47" t="inlineStr">
        <is>
          <t>Öne Çıkarma - Doruk Estetik</t>
        </is>
      </c>
      <c r="G135" s="84" t="n">
        <v>307.62</v>
      </c>
      <c r="H135" s="47" t="inlineStr">
        <is>
          <t>Instagram profili ziyaretleri</t>
        </is>
      </c>
      <c r="I135" s="50" t="n">
        <v>43</v>
      </c>
      <c r="J135" s="50" t="n">
        <v>1815</v>
      </c>
      <c r="K135" s="50" t="n">
        <v>1880</v>
      </c>
    </row>
    <row r="136">
      <c r="A136" s="43" t="inlineStr">
        <is>
          <t>Doruk Estetik &amp; Saç Ekimi</t>
        </is>
      </c>
      <c r="B136" s="43" t="inlineStr">
        <is>
          <t>Instagram gönderisi: Kilo verirken yüzünüzde...</t>
        </is>
      </c>
      <c r="C136" s="46" t="inlineStr">
        <is>
          <t>2026-06-29</t>
        </is>
      </c>
      <c r="D136" s="43" t="inlineStr">
        <is>
          <t>Estetik Marka</t>
        </is>
      </c>
      <c r="E136" s="43" t="inlineStr">
        <is>
          <t>Instagram Öne Çıkarma</t>
        </is>
      </c>
      <c r="F136" s="43" t="inlineStr">
        <is>
          <t>Öne Çıkarma - Doruk Estetik</t>
        </is>
      </c>
      <c r="G136" s="83" t="n">
        <v>302.73</v>
      </c>
      <c r="H136" s="43" t="inlineStr">
        <is>
          <t>Instagram profili ziyaretleri</t>
        </is>
      </c>
      <c r="I136" s="46" t="n">
        <v>45</v>
      </c>
      <c r="J136" s="46" t="n">
        <v>1550</v>
      </c>
      <c r="K136" s="46" t="n">
        <v>1582</v>
      </c>
    </row>
    <row r="137">
      <c r="A137" s="47" t="inlineStr">
        <is>
          <t>Doruk Estetik &amp; Saç Ekimi</t>
        </is>
      </c>
      <c r="B137" s="47" t="inlineStr">
        <is>
          <t>Instagram gönderisi: Medikal estetik alanındaki...</t>
        </is>
      </c>
      <c r="C137" s="50" t="inlineStr">
        <is>
          <t>2026-07-05</t>
        </is>
      </c>
      <c r="D137" s="47" t="inlineStr">
        <is>
          <t>Estetik Marka</t>
        </is>
      </c>
      <c r="E137" s="47" t="inlineStr">
        <is>
          <t>Instagram Öne Çıkarma</t>
        </is>
      </c>
      <c r="F137" s="47" t="inlineStr">
        <is>
          <t>Öne Çıkarma - Doruk Estetik</t>
        </is>
      </c>
      <c r="G137" s="84" t="n">
        <v>283.77</v>
      </c>
      <c r="H137" s="47" t="inlineStr">
        <is>
          <t>Instagram profili ziyaretleri</t>
        </is>
      </c>
      <c r="I137" s="50" t="n">
        <v>59</v>
      </c>
      <c r="J137" s="50" t="n">
        <v>4003</v>
      </c>
      <c r="K137" s="50" t="n">
        <v>4253</v>
      </c>
    </row>
    <row r="138">
      <c r="A138" s="43" t="inlineStr">
        <is>
          <t>Doruk Estetik &amp; Saç Ekimi</t>
        </is>
      </c>
      <c r="B138" s="43" t="inlineStr">
        <is>
          <t>Instagram gönderisi: Kulak görünümünüz nedeniyle...</t>
        </is>
      </c>
      <c r="C138" s="46" t="inlineStr">
        <is>
          <t>2026-07-05</t>
        </is>
      </c>
      <c r="D138" s="43" t="inlineStr">
        <is>
          <t>Estetik Marka</t>
        </is>
      </c>
      <c r="E138" s="43" t="inlineStr">
        <is>
          <t>Instagram Öne Çıkarma</t>
        </is>
      </c>
      <c r="F138" s="43" t="inlineStr">
        <is>
          <t>Öne Çıkarma - Doruk Estetik</t>
        </is>
      </c>
      <c r="G138" s="83" t="n">
        <v>279.36</v>
      </c>
      <c r="H138" s="43" t="inlineStr">
        <is>
          <t>Instagram profili ziyaretleri</t>
        </is>
      </c>
      <c r="I138" s="46" t="n">
        <v>61</v>
      </c>
      <c r="J138" s="46" t="n">
        <v>5508</v>
      </c>
      <c r="K138" s="46" t="n">
        <v>5586</v>
      </c>
    </row>
    <row r="139">
      <c r="A139" s="47" t="inlineStr">
        <is>
          <t>Doruk Estetik &amp; Saç Ekimi</t>
        </is>
      </c>
      <c r="B139" s="47" t="inlineStr">
        <is>
          <t>Instagram gönderisi: Medikal estetik alanındaki...</t>
        </is>
      </c>
      <c r="C139" s="50" t="inlineStr">
        <is>
          <t>2026-06-24</t>
        </is>
      </c>
      <c r="D139" s="47" t="inlineStr">
        <is>
          <t>Estetik Marka</t>
        </is>
      </c>
      <c r="E139" s="47" t="inlineStr">
        <is>
          <t>Instagram Öne Çıkarma</t>
        </is>
      </c>
      <c r="F139" s="47" t="inlineStr">
        <is>
          <t>Öne Çıkarma - Doruk Estetik</t>
        </is>
      </c>
      <c r="G139" s="84" t="n">
        <v>277.75</v>
      </c>
      <c r="H139" s="47" t="inlineStr">
        <is>
          <t>Instagram profili ziyaretleri</t>
        </is>
      </c>
      <c r="I139" s="50" t="n">
        <v>58</v>
      </c>
      <c r="J139" s="50" t="n">
        <v>3751</v>
      </c>
      <c r="K139" s="50" t="n">
        <v>3928</v>
      </c>
    </row>
    <row r="140">
      <c r="A140" s="43" t="inlineStr">
        <is>
          <t>Doruk Estetik &amp; Saç Ekimi</t>
        </is>
      </c>
      <c r="B140" s="43" t="inlineStr">
        <is>
          <t>Instagram gönderisi: Kilo verirken yüzünüzde...</t>
        </is>
      </c>
      <c r="C140" s="46" t="inlineStr">
        <is>
          <t>2026-07-05</t>
        </is>
      </c>
      <c r="D140" s="43" t="inlineStr">
        <is>
          <t>Estetik Marka</t>
        </is>
      </c>
      <c r="E140" s="43" t="inlineStr">
        <is>
          <t>Instagram Öne Çıkarma</t>
        </is>
      </c>
      <c r="F140" s="43" t="inlineStr">
        <is>
          <t>Öne Çıkarma - Doruk Estetik</t>
        </is>
      </c>
      <c r="G140" s="83" t="n">
        <v>276.52</v>
      </c>
      <c r="H140" s="43" t="inlineStr">
        <is>
          <t>Instagram profili ziyaretleri</t>
        </is>
      </c>
      <c r="I140" s="46" t="n">
        <v>40</v>
      </c>
      <c r="J140" s="46" t="n">
        <v>1376</v>
      </c>
      <c r="K140" s="46" t="n">
        <v>1432</v>
      </c>
    </row>
    <row r="141">
      <c r="A141" s="47" t="inlineStr">
        <is>
          <t>Doruk Estetik &amp; Saç Ekimi</t>
        </is>
      </c>
      <c r="B141" s="47" t="inlineStr">
        <is>
          <t>Instagram gönderisi: Yüz bölgesine yapılan...</t>
        </is>
      </c>
      <c r="C141" s="50" t="inlineStr">
        <is>
          <t>2026-07-05</t>
        </is>
      </c>
      <c r="D141" s="47" t="inlineStr">
        <is>
          <t>Estetik Marka</t>
        </is>
      </c>
      <c r="E141" s="47" t="inlineStr">
        <is>
          <t>Instagram Öne Çıkarma</t>
        </is>
      </c>
      <c r="F141" s="47" t="inlineStr">
        <is>
          <t>Öne Çıkarma - Doruk Estetik</t>
        </is>
      </c>
      <c r="G141" s="84" t="n">
        <v>264.68</v>
      </c>
      <c r="H141" s="47" t="inlineStr">
        <is>
          <t>Instagram profili ziyaretleri</t>
        </is>
      </c>
      <c r="I141" s="50" t="n">
        <v>52</v>
      </c>
      <c r="J141" s="50" t="n">
        <v>950</v>
      </c>
      <c r="K141" s="50" t="n">
        <v>1021</v>
      </c>
    </row>
    <row r="142">
      <c r="A142" s="43" t="inlineStr">
        <is>
          <t>Doruk Estetik &amp; Saç Ekimi</t>
        </is>
      </c>
      <c r="B142" s="43" t="inlineStr">
        <is>
          <t>Instagram gönderisi: Medikal estetik alanındaki...</t>
        </is>
      </c>
      <c r="C142" s="46" t="inlineStr">
        <is>
          <t>2026-07-22</t>
        </is>
      </c>
      <c r="D142" s="43" t="inlineStr">
        <is>
          <t>Estetik Marka</t>
        </is>
      </c>
      <c r="E142" s="43" t="inlineStr">
        <is>
          <t>Instagram Öne Çıkarma</t>
        </is>
      </c>
      <c r="F142" s="43" t="inlineStr">
        <is>
          <t>Öne Çıkarma - Doruk Estetik</t>
        </is>
      </c>
      <c r="G142" s="83" t="n">
        <v>233.59</v>
      </c>
      <c r="H142" s="43" t="inlineStr">
        <is>
          <t>Instagram profili ziyaretleri</t>
        </is>
      </c>
      <c r="I142" s="46" t="n">
        <v>60</v>
      </c>
      <c r="J142" s="46" t="n">
        <v>4025</v>
      </c>
      <c r="K142" s="46" t="n">
        <v>4240</v>
      </c>
    </row>
    <row r="143">
      <c r="A143" s="47" t="inlineStr">
        <is>
          <t>Doruk Estetik &amp; Saç Ekimi</t>
        </is>
      </c>
      <c r="B143" s="47" t="inlineStr">
        <is>
          <t>Instagram gönderisi: Kulak görünümünüz nedeniyle...</t>
        </is>
      </c>
      <c r="C143" s="50" t="inlineStr">
        <is>
          <t>2026-06-29</t>
        </is>
      </c>
      <c r="D143" s="47" t="inlineStr">
        <is>
          <t>Estetik Marka</t>
        </is>
      </c>
      <c r="E143" s="47" t="inlineStr">
        <is>
          <t>Instagram Öne Çıkarma</t>
        </is>
      </c>
      <c r="F143" s="47" t="inlineStr">
        <is>
          <t>Öne Çıkarma - Doruk Estetik</t>
        </is>
      </c>
      <c r="G143" s="84" t="n">
        <v>221.94</v>
      </c>
      <c r="H143" s="47" t="inlineStr">
        <is>
          <t>Instagram profili ziyaretleri</t>
        </is>
      </c>
      <c r="I143" s="50" t="n">
        <v>39</v>
      </c>
      <c r="J143" s="50" t="n">
        <v>2019</v>
      </c>
      <c r="K143" s="50" t="n">
        <v>2367</v>
      </c>
    </row>
    <row r="144">
      <c r="A144" s="43" t="inlineStr">
        <is>
          <t>Doruk Estetik &amp; Saç Ekimi</t>
        </is>
      </c>
      <c r="B144" s="43" t="inlineStr">
        <is>
          <t>Instagram gönderisi: Jinekomasti her zaman...</t>
        </is>
      </c>
      <c r="C144" s="46" t="inlineStr">
        <is>
          <t>2026-07-11</t>
        </is>
      </c>
      <c r="D144" s="43" t="inlineStr">
        <is>
          <t>Estetik Marka</t>
        </is>
      </c>
      <c r="E144" s="43" t="inlineStr">
        <is>
          <t>Instagram Öne Çıkarma</t>
        </is>
      </c>
      <c r="F144" s="43" t="inlineStr">
        <is>
          <t>Öne Çıkarma - Doruk Estetik</t>
        </is>
      </c>
      <c r="G144" s="83" t="n">
        <v>169.06</v>
      </c>
      <c r="H144" s="43" t="inlineStr">
        <is>
          <t>Instagram profili ziyaretleri</t>
        </is>
      </c>
      <c r="I144" s="46" t="n">
        <v>32</v>
      </c>
      <c r="J144" s="46" t="n">
        <v>1528</v>
      </c>
      <c r="K144" s="46" t="n">
        <v>1566</v>
      </c>
    </row>
    <row r="145">
      <c r="A145" s="47" t="inlineStr">
        <is>
          <t>Doruk Estetik &amp; Saç Ekimi</t>
        </is>
      </c>
      <c r="B145" s="47" t="inlineStr">
        <is>
          <t>Instagram gönderisi: Kilo verirken yüzünüzde...</t>
        </is>
      </c>
      <c r="C145" s="50" t="inlineStr">
        <is>
          <t>2026-07-11</t>
        </is>
      </c>
      <c r="D145" s="47" t="inlineStr">
        <is>
          <t>Estetik Marka</t>
        </is>
      </c>
      <c r="E145" s="47" t="inlineStr">
        <is>
          <t>Instagram Öne Çıkarma</t>
        </is>
      </c>
      <c r="F145" s="47" t="inlineStr">
        <is>
          <t>Öne Çıkarma - Doruk Estetik</t>
        </is>
      </c>
      <c r="G145" s="84" t="n">
        <v>168.97</v>
      </c>
      <c r="H145" s="47" t="inlineStr">
        <is>
          <t>Instagram profili ziyaretleri</t>
        </is>
      </c>
      <c r="I145" s="50" t="n">
        <v>36</v>
      </c>
      <c r="J145" s="50" t="n">
        <v>1410</v>
      </c>
      <c r="K145" s="50" t="n">
        <v>1496</v>
      </c>
    </row>
    <row r="146">
      <c r="A146" s="43" t="inlineStr">
        <is>
          <t>Doruk Estetik &amp; Saç Ekimi</t>
        </is>
      </c>
      <c r="B146" s="43" t="inlineStr">
        <is>
          <t>Instagram gönderisi: Kilo verirken yüzünüzde...</t>
        </is>
      </c>
      <c r="C146" s="46" t="inlineStr">
        <is>
          <t>2026-07-14</t>
        </is>
      </c>
      <c r="D146" s="43" t="inlineStr">
        <is>
          <t>Estetik Marka</t>
        </is>
      </c>
      <c r="E146" s="43" t="inlineStr">
        <is>
          <t>Instagram Öne Çıkarma</t>
        </is>
      </c>
      <c r="F146" s="43" t="inlineStr">
        <is>
          <t>Öne Çıkarma - Doruk Estetik</t>
        </is>
      </c>
      <c r="G146" s="83" t="n">
        <v>162.79</v>
      </c>
      <c r="H146" s="43" t="inlineStr">
        <is>
          <t>Instagram profili ziyaretleri</t>
        </is>
      </c>
      <c r="I146" s="46" t="n">
        <v>34</v>
      </c>
      <c r="J146" s="46" t="n">
        <v>1531</v>
      </c>
      <c r="K146" s="46" t="n">
        <v>1545</v>
      </c>
    </row>
    <row r="147">
      <c r="A147" s="47" t="inlineStr">
        <is>
          <t>Doruk Estetik &amp; Saç Ekimi</t>
        </is>
      </c>
      <c r="B147" s="47" t="inlineStr">
        <is>
          <t>Instagram gönderisi: Yüz bölgesine yapılan...</t>
        </is>
      </c>
      <c r="C147" s="50" t="inlineStr">
        <is>
          <t>2026-07-14</t>
        </is>
      </c>
      <c r="D147" s="47" t="inlineStr">
        <is>
          <t>Estetik Marka</t>
        </is>
      </c>
      <c r="E147" s="47" t="inlineStr">
        <is>
          <t>Instagram Öne Çıkarma</t>
        </is>
      </c>
      <c r="F147" s="47" t="inlineStr">
        <is>
          <t>Öne Çıkarma - Doruk Estetik</t>
        </is>
      </c>
      <c r="G147" s="84" t="n">
        <v>161.43</v>
      </c>
      <c r="H147" s="47" t="inlineStr">
        <is>
          <t>Instagram profili ziyaretleri</t>
        </is>
      </c>
      <c r="I147" s="50" t="n">
        <v>21</v>
      </c>
      <c r="J147" s="50" t="n">
        <v>738</v>
      </c>
      <c r="K147" s="50" t="n">
        <v>791</v>
      </c>
    </row>
    <row r="148">
      <c r="A148" s="43" t="inlineStr">
        <is>
          <t>Doruk Estetik &amp; Saç Ekimi</t>
        </is>
      </c>
      <c r="B148" s="43" t="inlineStr">
        <is>
          <t>Instagram gönderisi: Yüz bölgesine yapılan...</t>
        </is>
      </c>
      <c r="C148" s="46" t="inlineStr">
        <is>
          <t>2026-07-11</t>
        </is>
      </c>
      <c r="D148" s="43" t="inlineStr">
        <is>
          <t>Estetik Marka</t>
        </is>
      </c>
      <c r="E148" s="43" t="inlineStr">
        <is>
          <t>Instagram Öne Çıkarma</t>
        </is>
      </c>
      <c r="F148" s="43" t="inlineStr">
        <is>
          <t>Öne Çıkarma - Doruk Estetik</t>
        </is>
      </c>
      <c r="G148" s="83" t="n">
        <v>152.48</v>
      </c>
      <c r="H148" s="43" t="inlineStr">
        <is>
          <t>Instagram profili ziyaretleri</t>
        </is>
      </c>
      <c r="I148" s="46" t="n">
        <v>35</v>
      </c>
      <c r="J148" s="46" t="n">
        <v>975</v>
      </c>
      <c r="K148" s="46" t="n">
        <v>1024</v>
      </c>
    </row>
    <row r="149">
      <c r="A149" s="47" t="inlineStr">
        <is>
          <t>Doruk Estetik &amp; Saç Ekimi</t>
        </is>
      </c>
      <c r="B149" s="47" t="inlineStr">
        <is>
          <t>Instagram gönderisi: Kulak görünümünüz nedeniyle...</t>
        </is>
      </c>
      <c r="C149" s="50" t="inlineStr">
        <is>
          <t>2026-07-14</t>
        </is>
      </c>
      <c r="D149" s="47" t="inlineStr">
        <is>
          <t>Estetik Marka</t>
        </is>
      </c>
      <c r="E149" s="47" t="inlineStr">
        <is>
          <t>Instagram Öne Çıkarma</t>
        </is>
      </c>
      <c r="F149" s="47" t="inlineStr">
        <is>
          <t>Öne Çıkarma - Doruk Estetik</t>
        </is>
      </c>
      <c r="G149" s="84" t="n">
        <v>151.72</v>
      </c>
      <c r="H149" s="47" t="inlineStr">
        <is>
          <t>Instagram profili ziyaretleri</t>
        </is>
      </c>
      <c r="I149" s="50" t="n">
        <v>20</v>
      </c>
      <c r="J149" s="50" t="n">
        <v>2993</v>
      </c>
      <c r="K149" s="50" t="n">
        <v>3152</v>
      </c>
    </row>
    <row r="150">
      <c r="A150" s="43" t="inlineStr">
        <is>
          <t>Doruk Estetik &amp; Saç Ekimi</t>
        </is>
      </c>
      <c r="B150" s="43" t="inlineStr">
        <is>
          <t>Instagram gönderisi: Kulak görünümünüz nedeniyle...</t>
        </is>
      </c>
      <c r="C150" s="46" t="inlineStr">
        <is>
          <t>2026-07-11</t>
        </is>
      </c>
      <c r="D150" s="43" t="inlineStr">
        <is>
          <t>Estetik Marka</t>
        </is>
      </c>
      <c r="E150" s="43" t="inlineStr">
        <is>
          <t>Instagram Öne Çıkarma</t>
        </is>
      </c>
      <c r="F150" s="43" t="inlineStr">
        <is>
          <t>Öne Çıkarma - Doruk Estetik</t>
        </is>
      </c>
      <c r="G150" s="83" t="n">
        <v>144.23</v>
      </c>
      <c r="H150" s="43" t="inlineStr">
        <is>
          <t>Instagram profili ziyaretleri</t>
        </is>
      </c>
      <c r="I150" s="46" t="n">
        <v>20</v>
      </c>
      <c r="J150" s="46" t="n">
        <v>3340</v>
      </c>
      <c r="K150" s="46" t="n">
        <v>3369</v>
      </c>
    </row>
    <row r="151">
      <c r="A151" s="47" t="inlineStr">
        <is>
          <t>Doruk Estetik &amp; Saç Ekimi</t>
        </is>
      </c>
      <c r="B151" s="47" t="inlineStr">
        <is>
          <t>Instagram gönderisi: Medikal estetik alanındaki...</t>
        </is>
      </c>
      <c r="C151" s="50" t="inlineStr">
        <is>
          <t>2026-07-11</t>
        </is>
      </c>
      <c r="D151" s="47" t="inlineStr">
        <is>
          <t>Estetik Marka</t>
        </is>
      </c>
      <c r="E151" s="47" t="inlineStr">
        <is>
          <t>Instagram Öne Çıkarma</t>
        </is>
      </c>
      <c r="F151" s="47" t="inlineStr">
        <is>
          <t>Öne Çıkarma - Doruk Estetik</t>
        </is>
      </c>
      <c r="G151" s="84" t="n">
        <v>138.83</v>
      </c>
      <c r="H151" s="47" t="inlineStr">
        <is>
          <t>Instagram profili ziyaretleri</t>
        </is>
      </c>
      <c r="I151" s="50" t="n">
        <v>34</v>
      </c>
      <c r="J151" s="50" t="n">
        <v>2556</v>
      </c>
      <c r="K151" s="50" t="n">
        <v>2618</v>
      </c>
    </row>
    <row r="152">
      <c r="A152" s="43" t="inlineStr">
        <is>
          <t>Doruk Estetik &amp; Saç Ekimi</t>
        </is>
      </c>
      <c r="B152" s="43" t="inlineStr">
        <is>
          <t>Instagram gönderisi: Jinekomasti her zaman...</t>
        </is>
      </c>
      <c r="C152" s="46" t="inlineStr">
        <is>
          <t>2026-07-14</t>
        </is>
      </c>
      <c r="D152" s="43" t="inlineStr">
        <is>
          <t>Estetik Marka</t>
        </is>
      </c>
      <c r="E152" s="43" t="inlineStr">
        <is>
          <t>Instagram Öne Çıkarma</t>
        </is>
      </c>
      <c r="F152" s="43" t="inlineStr">
        <is>
          <t>Öne Çıkarma - Doruk Estetik</t>
        </is>
      </c>
      <c r="G152" s="83" t="n">
        <v>133.37</v>
      </c>
      <c r="H152" s="43" t="inlineStr">
        <is>
          <t>Instagram profili ziyaretleri</t>
        </is>
      </c>
      <c r="I152" s="46" t="n">
        <v>22</v>
      </c>
      <c r="J152" s="46" t="n">
        <v>1398</v>
      </c>
      <c r="K152" s="46" t="n">
        <v>1456</v>
      </c>
    </row>
    <row r="153">
      <c r="A153" s="47" t="inlineStr">
        <is>
          <t>Doruk Estetik &amp; Saç Ekimi</t>
        </is>
      </c>
      <c r="B153" s="47" t="inlineStr">
        <is>
          <t>Instagram gönderisi: Medikal estetik alanındaki...</t>
        </is>
      </c>
      <c r="C153" s="50" t="inlineStr">
        <is>
          <t>2026-07-21</t>
        </is>
      </c>
      <c r="D153" s="47" t="inlineStr">
        <is>
          <t>Estetik Marka</t>
        </is>
      </c>
      <c r="E153" s="47" t="inlineStr">
        <is>
          <t>Instagram Öne Çıkarma</t>
        </is>
      </c>
      <c r="F153" s="47" t="inlineStr">
        <is>
          <t>Öne Çıkarma - Doruk Estetik</t>
        </is>
      </c>
      <c r="G153" s="84" t="n">
        <v>119.9</v>
      </c>
      <c r="H153" s="47" t="inlineStr">
        <is>
          <t>Instagram profili ziyaretleri</t>
        </is>
      </c>
      <c r="I153" s="50" t="n">
        <v>29</v>
      </c>
      <c r="J153" s="50" t="n">
        <v>1784</v>
      </c>
      <c r="K153" s="50" t="n">
        <v>1813</v>
      </c>
    </row>
    <row r="154">
      <c r="A154" s="43" t="inlineStr">
        <is>
          <t>Doruk Estetik &amp; Saç Ekimi</t>
        </is>
      </c>
      <c r="B154" s="43" t="inlineStr">
        <is>
          <t>Instagram gönderisi: Medikal estetik alanındaki...</t>
        </is>
      </c>
      <c r="C154" s="46" t="inlineStr">
        <is>
          <t>2026-07-14</t>
        </is>
      </c>
      <c r="D154" s="43" t="inlineStr">
        <is>
          <t>Estetik Marka</t>
        </is>
      </c>
      <c r="E154" s="43" t="inlineStr">
        <is>
          <t>Instagram Öne Çıkarma</t>
        </is>
      </c>
      <c r="F154" s="43" t="inlineStr">
        <is>
          <t>Öne Çıkarma - Doruk Estetik</t>
        </is>
      </c>
      <c r="G154" s="83" t="n">
        <v>92.7</v>
      </c>
      <c r="H154" s="43" t="inlineStr">
        <is>
          <t>Instagram profili ziyaretleri</t>
        </is>
      </c>
      <c r="I154" s="46" t="n">
        <v>18</v>
      </c>
      <c r="J154" s="46" t="n">
        <v>1612</v>
      </c>
      <c r="K154" s="46" t="n">
        <v>1676</v>
      </c>
    </row>
    <row r="155">
      <c r="A155" s="47" t="inlineStr">
        <is>
          <t>Doruk Estetik &amp; Saç Ekimi</t>
        </is>
      </c>
      <c r="B155" s="47" t="inlineStr">
        <is>
          <t>Instagram gönderisi: Jinekomasti her zaman...</t>
        </is>
      </c>
      <c r="C155" s="50" t="inlineStr">
        <is>
          <t>2026-07-06</t>
        </is>
      </c>
      <c r="D155" s="47" t="inlineStr">
        <is>
          <t>Estetik Marka</t>
        </is>
      </c>
      <c r="E155" s="47" t="inlineStr">
        <is>
          <t>Instagram Öne Çıkarma</t>
        </is>
      </c>
      <c r="F155" s="47" t="inlineStr">
        <is>
          <t>Öne Çıkarma - Doruk Estetik</t>
        </is>
      </c>
      <c r="G155" s="84" t="n">
        <v>80.7</v>
      </c>
      <c r="H155" s="47" t="inlineStr">
        <is>
          <t>Instagram profili ziyaretleri</t>
        </is>
      </c>
      <c r="I155" s="50" t="n">
        <v>8</v>
      </c>
      <c r="J155" s="50" t="n">
        <v>493</v>
      </c>
      <c r="K155" s="50" t="n">
        <v>518</v>
      </c>
    </row>
    <row r="156">
      <c r="A156" s="43" t="inlineStr">
        <is>
          <t>Doruk Estetik &amp; Saç Ekimi</t>
        </is>
      </c>
      <c r="B156" s="43" t="inlineStr">
        <is>
          <t>Instagram gönderisi: Kulak görünümünüz nedeniyle...</t>
        </is>
      </c>
      <c r="C156" s="46" t="inlineStr">
        <is>
          <t>2026-07-06</t>
        </is>
      </c>
      <c r="D156" s="43" t="inlineStr">
        <is>
          <t>Estetik Marka</t>
        </is>
      </c>
      <c r="E156" s="43" t="inlineStr">
        <is>
          <t>Instagram Öne Çıkarma</t>
        </is>
      </c>
      <c r="F156" s="43" t="inlineStr">
        <is>
          <t>Öne Çıkarma - Doruk Estetik</t>
        </is>
      </c>
      <c r="G156" s="83" t="n">
        <v>72.89</v>
      </c>
      <c r="H156" s="43" t="inlineStr">
        <is>
          <t>Instagram profili ziyaretleri</t>
        </is>
      </c>
      <c r="I156" s="46" t="n">
        <v>10</v>
      </c>
      <c r="J156" s="46" t="n">
        <v>1597</v>
      </c>
      <c r="K156" s="46" t="n">
        <v>1618</v>
      </c>
    </row>
    <row r="157">
      <c r="A157" s="47" t="inlineStr">
        <is>
          <t>Doruk Estetik &amp; Saç Ekimi</t>
        </is>
      </c>
      <c r="B157" s="47" t="inlineStr">
        <is>
          <t>Instagram gönderisi: Yüz bölgesine yapılan...</t>
        </is>
      </c>
      <c r="C157" s="50" t="inlineStr">
        <is>
          <t>2026-07-06</t>
        </is>
      </c>
      <c r="D157" s="47" t="inlineStr">
        <is>
          <t>Estetik Marka</t>
        </is>
      </c>
      <c r="E157" s="47" t="inlineStr">
        <is>
          <t>Instagram Öne Çıkarma</t>
        </is>
      </c>
      <c r="F157" s="47" t="inlineStr">
        <is>
          <t>Öne Çıkarma - Doruk Estetik</t>
        </is>
      </c>
      <c r="G157" s="84" t="n">
        <v>63.97</v>
      </c>
      <c r="H157" s="47" t="inlineStr">
        <is>
          <t>Instagram profili ziyaretleri</t>
        </is>
      </c>
      <c r="I157" s="50" t="n">
        <v>15</v>
      </c>
      <c r="J157" s="50" t="n">
        <v>309</v>
      </c>
      <c r="K157" s="50" t="n">
        <v>324</v>
      </c>
    </row>
    <row r="158">
      <c r="A158" s="43" t="inlineStr">
        <is>
          <t>Doruk Estetik &amp; Saç Ekimi</t>
        </is>
      </c>
      <c r="B158" s="43" t="inlineStr">
        <is>
          <t>Instagram gönderisi: Medikal estetik alanındaki...</t>
        </is>
      </c>
      <c r="C158" s="46" t="inlineStr">
        <is>
          <t>2026-07-06</t>
        </is>
      </c>
      <c r="D158" s="43" t="inlineStr">
        <is>
          <t>Estetik Marka</t>
        </is>
      </c>
      <c r="E158" s="43" t="inlineStr">
        <is>
          <t>Instagram Öne Çıkarma</t>
        </is>
      </c>
      <c r="F158" s="43" t="inlineStr">
        <is>
          <t>Öne Çıkarma - Doruk Estetik</t>
        </is>
      </c>
      <c r="G158" s="83" t="n">
        <v>59.88</v>
      </c>
      <c r="H158" s="43" t="inlineStr">
        <is>
          <t>Instagram profili ziyaretleri</t>
        </is>
      </c>
      <c r="I158" s="46" t="n">
        <v>22</v>
      </c>
      <c r="J158" s="46" t="n">
        <v>1016</v>
      </c>
      <c r="K158" s="46" t="n">
        <v>1058</v>
      </c>
    </row>
    <row r="159">
      <c r="A159" s="47" t="inlineStr">
        <is>
          <t>Doruk Estetik &amp; Saç Ekimi</t>
        </is>
      </c>
      <c r="B159" s="47" t="inlineStr">
        <is>
          <t>Instagram gönderisi: Kilo verirken yüzünüzde...</t>
        </is>
      </c>
      <c r="C159" s="50" t="inlineStr">
        <is>
          <t>2026-07-06</t>
        </is>
      </c>
      <c r="D159" s="47" t="inlineStr">
        <is>
          <t>Estetik Marka</t>
        </is>
      </c>
      <c r="E159" s="47" t="inlineStr">
        <is>
          <t>Instagram Öne Çıkarma</t>
        </is>
      </c>
      <c r="F159" s="47" t="inlineStr">
        <is>
          <t>Öne Çıkarma - Doruk Estetik</t>
        </is>
      </c>
      <c r="G159" s="84" t="n">
        <v>52.13</v>
      </c>
      <c r="H159" s="47" t="inlineStr">
        <is>
          <t>Instagram profili ziyaretleri</t>
        </is>
      </c>
      <c r="I159" s="50" t="n">
        <v>16</v>
      </c>
      <c r="J159" s="50" t="n">
        <v>378</v>
      </c>
      <c r="K159" s="50" t="n">
        <v>380</v>
      </c>
    </row>
    <row r="160">
      <c r="A160" s="43" t="inlineStr">
        <is>
          <t>Doruk Estetik &amp; Saç Ekimi</t>
        </is>
      </c>
      <c r="B160" s="43" t="inlineStr">
        <is>
          <t>ABO / Medikal Estetik lead / 16.04.2026</t>
        </is>
      </c>
      <c r="C160" s="46" t="inlineStr">
        <is>
          <t>2026-06-27</t>
        </is>
      </c>
      <c r="D160" s="43" t="inlineStr">
        <is>
          <t>Estetik Marka</t>
        </is>
      </c>
      <c r="E160" s="43" t="inlineStr">
        <is>
          <t>Lead Toplama (Form)</t>
        </is>
      </c>
      <c r="F160" s="43" t="inlineStr">
        <is>
          <t>Lead - Estetik/Plastik/Saç</t>
        </is>
      </c>
      <c r="G160" s="83" t="n">
        <v>4145.8</v>
      </c>
      <c r="H160" s="43" t="inlineStr">
        <is>
          <t>Potansiyel müşteriler (form)</t>
        </is>
      </c>
      <c r="I160" s="46" t="n">
        <v>31</v>
      </c>
      <c r="J160" s="46" t="n">
        <v>26593</v>
      </c>
      <c r="K160" s="46" t="n">
        <v>34268</v>
      </c>
    </row>
    <row r="161">
      <c r="A161" s="47" t="inlineStr">
        <is>
          <t>Doruk Estetik &amp; Saç Ekimi</t>
        </is>
      </c>
      <c r="B161" s="47" t="inlineStr">
        <is>
          <t>ABO / Medikal Estetik lead / 16.04.2026</t>
        </is>
      </c>
      <c r="C161" s="50" t="inlineStr">
        <is>
          <t>2026-07-18</t>
        </is>
      </c>
      <c r="D161" s="47" t="inlineStr">
        <is>
          <t>Estetik Marka</t>
        </is>
      </c>
      <c r="E161" s="47" t="inlineStr">
        <is>
          <t>Lead Toplama (Form)</t>
        </is>
      </c>
      <c r="F161" s="47" t="inlineStr">
        <is>
          <t>Lead - Estetik/Plastik/Saç</t>
        </is>
      </c>
      <c r="G161" s="84" t="n">
        <v>4001.26</v>
      </c>
      <c r="H161" s="47" t="inlineStr">
        <is>
          <t>Potansiyel müşteriler (form)</t>
        </is>
      </c>
      <c r="I161" s="50" t="n">
        <v>42</v>
      </c>
      <c r="J161" s="50" t="n">
        <v>26030</v>
      </c>
      <c r="K161" s="50" t="n">
        <v>33914</v>
      </c>
    </row>
    <row r="162">
      <c r="A162" s="43" t="inlineStr">
        <is>
          <t>Doruk Estetik &amp; Saç Ekimi</t>
        </is>
      </c>
      <c r="B162" s="43" t="inlineStr">
        <is>
          <t>ABO / Medikal Estetik lead / 16.04.2026</t>
        </is>
      </c>
      <c r="C162" s="46" t="inlineStr">
        <is>
          <t>2026-07-10</t>
        </is>
      </c>
      <c r="D162" s="43" t="inlineStr">
        <is>
          <t>Estetik Marka</t>
        </is>
      </c>
      <c r="E162" s="43" t="inlineStr">
        <is>
          <t>Lead Toplama (Form)</t>
        </is>
      </c>
      <c r="F162" s="43" t="inlineStr">
        <is>
          <t>Lead - Estetik/Plastik/Saç</t>
        </is>
      </c>
      <c r="G162" s="83" t="n">
        <v>3406.22</v>
      </c>
      <c r="H162" s="43" t="inlineStr">
        <is>
          <t>Potansiyel müşteriler (form)</t>
        </is>
      </c>
      <c r="I162" s="46" t="n">
        <v>29</v>
      </c>
      <c r="J162" s="46" t="n">
        <v>24631</v>
      </c>
      <c r="K162" s="46" t="n">
        <v>31404</v>
      </c>
    </row>
    <row r="163">
      <c r="A163" s="47" t="inlineStr">
        <is>
          <t>Doruk Estetik &amp; Saç Ekimi</t>
        </is>
      </c>
      <c r="B163" s="47" t="inlineStr">
        <is>
          <t>ABO / Medikal Estetik lead / 16.04.2026</t>
        </is>
      </c>
      <c r="C163" s="50" t="inlineStr">
        <is>
          <t>2026-06-26</t>
        </is>
      </c>
      <c r="D163" s="47" t="inlineStr">
        <is>
          <t>Estetik Marka</t>
        </is>
      </c>
      <c r="E163" s="47" t="inlineStr">
        <is>
          <t>Lead Toplama (Form)</t>
        </is>
      </c>
      <c r="F163" s="47" t="inlineStr">
        <is>
          <t>Lead - Estetik/Plastik/Saç</t>
        </is>
      </c>
      <c r="G163" s="84" t="n">
        <v>3399.56</v>
      </c>
      <c r="H163" s="47" t="inlineStr">
        <is>
          <t>Potansiyel müşteriler (form)</t>
        </is>
      </c>
      <c r="I163" s="50" t="n">
        <v>22</v>
      </c>
      <c r="J163" s="50" t="n">
        <v>21959</v>
      </c>
      <c r="K163" s="50" t="n">
        <v>27465</v>
      </c>
    </row>
    <row r="164">
      <c r="A164" s="43" t="inlineStr">
        <is>
          <t>Doruk Estetik &amp; Saç Ekimi</t>
        </is>
      </c>
      <c r="B164" s="43" t="inlineStr">
        <is>
          <t>ABO / Medikal Estetik lead / 16.04.2026</t>
        </is>
      </c>
      <c r="C164" s="46" t="inlineStr">
        <is>
          <t>2026-07-16</t>
        </is>
      </c>
      <c r="D164" s="43" t="inlineStr">
        <is>
          <t>Estetik Marka</t>
        </is>
      </c>
      <c r="E164" s="43" t="inlineStr">
        <is>
          <t>Lead Toplama (Form)</t>
        </is>
      </c>
      <c r="F164" s="43" t="inlineStr">
        <is>
          <t>Lead - Estetik/Plastik/Saç</t>
        </is>
      </c>
      <c r="G164" s="83" t="n">
        <v>3175.63</v>
      </c>
      <c r="H164" s="43" t="inlineStr">
        <is>
          <t>Potansiyel müşteriler (form)</t>
        </is>
      </c>
      <c r="I164" s="46" t="n">
        <v>34</v>
      </c>
      <c r="J164" s="46" t="n">
        <v>22842</v>
      </c>
      <c r="K164" s="46" t="n">
        <v>29021</v>
      </c>
    </row>
    <row r="165">
      <c r="A165" s="47" t="inlineStr">
        <is>
          <t>Doruk Estetik &amp; Saç Ekimi</t>
        </is>
      </c>
      <c r="B165" s="47" t="inlineStr">
        <is>
          <t>ABO / Medikal Estetik lead / 16.04.2026</t>
        </is>
      </c>
      <c r="C165" s="50" t="inlineStr">
        <is>
          <t>2026-07-08</t>
        </is>
      </c>
      <c r="D165" s="47" t="inlineStr">
        <is>
          <t>Estetik Marka</t>
        </is>
      </c>
      <c r="E165" s="47" t="inlineStr">
        <is>
          <t>Lead Toplama (Form)</t>
        </is>
      </c>
      <c r="F165" s="47" t="inlineStr">
        <is>
          <t>Lead - Estetik/Plastik/Saç</t>
        </is>
      </c>
      <c r="G165" s="84" t="n">
        <v>3160.36</v>
      </c>
      <c r="H165" s="47" t="inlineStr">
        <is>
          <t>Potansiyel müşteriler (form)</t>
        </is>
      </c>
      <c r="I165" s="50" t="n">
        <v>28</v>
      </c>
      <c r="J165" s="50" t="n">
        <v>22164</v>
      </c>
      <c r="K165" s="50" t="n">
        <v>28276</v>
      </c>
    </row>
    <row r="166">
      <c r="A166" s="43" t="inlineStr">
        <is>
          <t>Doruk Estetik &amp; Saç Ekimi</t>
        </is>
      </c>
      <c r="B166" s="43" t="inlineStr">
        <is>
          <t>ABO / Medikal Estetik lead / 16.04.2026</t>
        </is>
      </c>
      <c r="C166" s="46" t="inlineStr">
        <is>
          <t>2026-06-28</t>
        </is>
      </c>
      <c r="D166" s="43" t="inlineStr">
        <is>
          <t>Estetik Marka</t>
        </is>
      </c>
      <c r="E166" s="43" t="inlineStr">
        <is>
          <t>Lead Toplama (Form)</t>
        </is>
      </c>
      <c r="F166" s="43" t="inlineStr">
        <is>
          <t>Lead - Estetik/Plastik/Saç</t>
        </is>
      </c>
      <c r="G166" s="83" t="n">
        <v>2834.24</v>
      </c>
      <c r="H166" s="43" t="inlineStr">
        <is>
          <t>Potansiyel müşteriler (form)</t>
        </is>
      </c>
      <c r="I166" s="46" t="n">
        <v>34</v>
      </c>
      <c r="J166" s="46" t="n">
        <v>18071</v>
      </c>
      <c r="K166" s="46" t="n">
        <v>22816</v>
      </c>
    </row>
    <row r="167">
      <c r="A167" s="47" t="inlineStr">
        <is>
          <t>Doruk Estetik &amp; Saç Ekimi</t>
        </is>
      </c>
      <c r="B167" s="47" t="inlineStr">
        <is>
          <t>ABO / Medikal Estetik lead / 16.04.2026</t>
        </is>
      </c>
      <c r="C167" s="50" t="inlineStr">
        <is>
          <t>2026-06-23</t>
        </is>
      </c>
      <c r="D167" s="47" t="inlineStr">
        <is>
          <t>Estetik Marka</t>
        </is>
      </c>
      <c r="E167" s="47" t="inlineStr">
        <is>
          <t>Lead Toplama (Form)</t>
        </is>
      </c>
      <c r="F167" s="47" t="inlineStr">
        <is>
          <t>Lead - Estetik/Plastik/Saç</t>
        </is>
      </c>
      <c r="G167" s="84" t="n">
        <v>2774.88</v>
      </c>
      <c r="H167" s="47" t="inlineStr">
        <is>
          <t>Potansiyel müşteriler (form)</t>
        </is>
      </c>
      <c r="I167" s="50" t="n">
        <v>27</v>
      </c>
      <c r="J167" s="50" t="n">
        <v>20371</v>
      </c>
      <c r="K167" s="50" t="n">
        <v>25041</v>
      </c>
    </row>
    <row r="168">
      <c r="A168" s="43" t="inlineStr">
        <is>
          <t>Doruk Estetik &amp; Saç Ekimi</t>
        </is>
      </c>
      <c r="B168" s="43" t="inlineStr">
        <is>
          <t>ABO / Medikal Estetik lead / 16.04.2026</t>
        </is>
      </c>
      <c r="C168" s="46" t="inlineStr">
        <is>
          <t>2026-07-01</t>
        </is>
      </c>
      <c r="D168" s="43" t="inlineStr">
        <is>
          <t>Estetik Marka</t>
        </is>
      </c>
      <c r="E168" s="43" t="inlineStr">
        <is>
          <t>Lead Toplama (Form)</t>
        </is>
      </c>
      <c r="F168" s="43" t="inlineStr">
        <is>
          <t>Lead - Estetik/Plastik/Saç</t>
        </is>
      </c>
      <c r="G168" s="83" t="n">
        <v>2759.89</v>
      </c>
      <c r="H168" s="43" t="inlineStr">
        <is>
          <t>Potansiyel müşteriler (form)</t>
        </is>
      </c>
      <c r="I168" s="46" t="n">
        <v>21</v>
      </c>
      <c r="J168" s="46" t="n">
        <v>18754</v>
      </c>
      <c r="K168" s="46" t="n">
        <v>23559</v>
      </c>
    </row>
    <row r="169">
      <c r="A169" s="47" t="inlineStr">
        <is>
          <t>Doruk Estetik &amp; Saç Ekimi</t>
        </is>
      </c>
      <c r="B169" s="47" t="inlineStr">
        <is>
          <t>ABO / Medikal Estetik lead / 16.04.2026</t>
        </is>
      </c>
      <c r="C169" s="50" t="inlineStr">
        <is>
          <t>2026-07-15</t>
        </is>
      </c>
      <c r="D169" s="47" t="inlineStr">
        <is>
          <t>Estetik Marka</t>
        </is>
      </c>
      <c r="E169" s="47" t="inlineStr">
        <is>
          <t>Lead Toplama (Form)</t>
        </is>
      </c>
      <c r="F169" s="47" t="inlineStr">
        <is>
          <t>Lead - Estetik/Plastik/Saç</t>
        </is>
      </c>
      <c r="G169" s="84" t="n">
        <v>2705.98</v>
      </c>
      <c r="H169" s="47" t="inlineStr">
        <is>
          <t>Potansiyel müşteriler (form)</t>
        </is>
      </c>
      <c r="I169" s="50" t="n">
        <v>20</v>
      </c>
      <c r="J169" s="50" t="n">
        <v>18967</v>
      </c>
      <c r="K169" s="50" t="n">
        <v>24150</v>
      </c>
    </row>
    <row r="170">
      <c r="A170" s="43" t="inlineStr">
        <is>
          <t>Doruk Estetik &amp; Saç Ekimi</t>
        </is>
      </c>
      <c r="B170" s="43" t="inlineStr">
        <is>
          <t>ABO / Medikal Estetik lead / 16.04.2026</t>
        </is>
      </c>
      <c r="C170" s="46" t="inlineStr">
        <is>
          <t>2026-07-13</t>
        </is>
      </c>
      <c r="D170" s="43" t="inlineStr">
        <is>
          <t>Estetik Marka</t>
        </is>
      </c>
      <c r="E170" s="43" t="inlineStr">
        <is>
          <t>Lead Toplama (Form)</t>
        </is>
      </c>
      <c r="F170" s="43" t="inlineStr">
        <is>
          <t>Lead - Estetik/Plastik/Saç</t>
        </is>
      </c>
      <c r="G170" s="83" t="n">
        <v>2666.55</v>
      </c>
      <c r="H170" s="43" t="inlineStr">
        <is>
          <t>Potansiyel müşteriler (form)</t>
        </is>
      </c>
      <c r="I170" s="46" t="n">
        <v>23</v>
      </c>
      <c r="J170" s="46" t="n">
        <v>17705</v>
      </c>
      <c r="K170" s="46" t="n">
        <v>23081</v>
      </c>
    </row>
    <row r="171">
      <c r="A171" s="47" t="inlineStr">
        <is>
          <t>Doruk Estetik &amp; Saç Ekimi</t>
        </is>
      </c>
      <c r="B171" s="47" t="inlineStr">
        <is>
          <t>ABO / Medikal Estetik lead / 16.04.2026</t>
        </is>
      </c>
      <c r="C171" s="50" t="inlineStr">
        <is>
          <t>2026-07-02</t>
        </is>
      </c>
      <c r="D171" s="47" t="inlineStr">
        <is>
          <t>Estetik Marka</t>
        </is>
      </c>
      <c r="E171" s="47" t="inlineStr">
        <is>
          <t>Lead Toplama (Form)</t>
        </is>
      </c>
      <c r="F171" s="47" t="inlineStr">
        <is>
          <t>Lead - Estetik/Plastik/Saç</t>
        </is>
      </c>
      <c r="G171" s="84" t="n">
        <v>2574.58</v>
      </c>
      <c r="H171" s="47" t="inlineStr">
        <is>
          <t>Potansiyel müşteriler (form)</t>
        </is>
      </c>
      <c r="I171" s="50" t="n">
        <v>25</v>
      </c>
      <c r="J171" s="50" t="n">
        <v>18170</v>
      </c>
      <c r="K171" s="50" t="n">
        <v>22499</v>
      </c>
    </row>
    <row r="172">
      <c r="A172" s="43" t="inlineStr">
        <is>
          <t>Doruk Estetik &amp; Saç Ekimi</t>
        </is>
      </c>
      <c r="B172" s="43" t="inlineStr">
        <is>
          <t>ABO / Medikal Estetik lead / 16.04.2026</t>
        </is>
      </c>
      <c r="C172" s="46" t="inlineStr">
        <is>
          <t>2026-07-03</t>
        </is>
      </c>
      <c r="D172" s="43" t="inlineStr">
        <is>
          <t>Estetik Marka</t>
        </is>
      </c>
      <c r="E172" s="43" t="inlineStr">
        <is>
          <t>Lead Toplama (Form)</t>
        </is>
      </c>
      <c r="F172" s="43" t="inlineStr">
        <is>
          <t>Lead - Estetik/Plastik/Saç</t>
        </is>
      </c>
      <c r="G172" s="83" t="n">
        <v>2480.41</v>
      </c>
      <c r="H172" s="43" t="inlineStr">
        <is>
          <t>Potansiyel müşteriler (form)</t>
        </is>
      </c>
      <c r="I172" s="46" t="n">
        <v>19</v>
      </c>
      <c r="J172" s="46" t="n">
        <v>17195</v>
      </c>
      <c r="K172" s="46" t="n">
        <v>22104</v>
      </c>
    </row>
    <row r="173">
      <c r="A173" s="47" t="inlineStr">
        <is>
          <t>Doruk Estetik &amp; Saç Ekimi</t>
        </is>
      </c>
      <c r="B173" s="47" t="inlineStr">
        <is>
          <t>ABO / Medikal Estetik lead / 16.04.2026</t>
        </is>
      </c>
      <c r="C173" s="50" t="inlineStr">
        <is>
          <t>2026-07-17</t>
        </is>
      </c>
      <c r="D173" s="47" t="inlineStr">
        <is>
          <t>Estetik Marka</t>
        </is>
      </c>
      <c r="E173" s="47" t="inlineStr">
        <is>
          <t>Lead Toplama (Form)</t>
        </is>
      </c>
      <c r="F173" s="47" t="inlineStr">
        <is>
          <t>Lead - Estetik/Plastik/Saç</t>
        </is>
      </c>
      <c r="G173" s="84" t="n">
        <v>2388.1</v>
      </c>
      <c r="H173" s="47" t="inlineStr">
        <is>
          <t>Potansiyel müşteriler (form)</t>
        </is>
      </c>
      <c r="I173" s="50" t="n">
        <v>19</v>
      </c>
      <c r="J173" s="50" t="n">
        <v>14808</v>
      </c>
      <c r="K173" s="50" t="n">
        <v>17606</v>
      </c>
    </row>
    <row r="174">
      <c r="A174" s="43" t="inlineStr">
        <is>
          <t>Doruk Estetik &amp; Saç Ekimi</t>
        </is>
      </c>
      <c r="B174" s="43" t="inlineStr">
        <is>
          <t>ABO / Medikal Estetik lead / 16.04.2026</t>
        </is>
      </c>
      <c r="C174" s="46" t="inlineStr">
        <is>
          <t>2026-07-20</t>
        </is>
      </c>
      <c r="D174" s="43" t="inlineStr">
        <is>
          <t>Estetik Marka</t>
        </is>
      </c>
      <c r="E174" s="43" t="inlineStr">
        <is>
          <t>Lead Toplama (Form)</t>
        </is>
      </c>
      <c r="F174" s="43" t="inlineStr">
        <is>
          <t>Lead - Estetik/Plastik/Saç</t>
        </is>
      </c>
      <c r="G174" s="83" t="n">
        <v>2364.73</v>
      </c>
      <c r="H174" s="43" t="inlineStr">
        <is>
          <t>Potansiyel müşteriler (form)</t>
        </is>
      </c>
      <c r="I174" s="46" t="n">
        <v>20</v>
      </c>
      <c r="J174" s="46" t="n">
        <v>18328</v>
      </c>
      <c r="K174" s="46" t="n">
        <v>22835</v>
      </c>
    </row>
    <row r="175">
      <c r="A175" s="47" t="inlineStr">
        <is>
          <t>Doruk Estetik &amp; Saç Ekimi</t>
        </is>
      </c>
      <c r="B175" s="47" t="inlineStr">
        <is>
          <t>ABO / Medikal Estetik lead / 16.04.2026</t>
        </is>
      </c>
      <c r="C175" s="50" t="inlineStr">
        <is>
          <t>2026-07-04</t>
        </is>
      </c>
      <c r="D175" s="47" t="inlineStr">
        <is>
          <t>Estetik Marka</t>
        </is>
      </c>
      <c r="E175" s="47" t="inlineStr">
        <is>
          <t>Lead Toplama (Form)</t>
        </is>
      </c>
      <c r="F175" s="47" t="inlineStr">
        <is>
          <t>Lead - Estetik/Plastik/Saç</t>
        </is>
      </c>
      <c r="G175" s="84" t="n">
        <v>2188.94</v>
      </c>
      <c r="H175" s="47" t="inlineStr">
        <is>
          <t>Potansiyel müşteriler (form)</t>
        </is>
      </c>
      <c r="I175" s="50" t="n">
        <v>13</v>
      </c>
      <c r="J175" s="50" t="n">
        <v>18227</v>
      </c>
      <c r="K175" s="50" t="n">
        <v>22150</v>
      </c>
    </row>
    <row r="176">
      <c r="A176" s="43" t="inlineStr">
        <is>
          <t>Doruk Estetik &amp; Saç Ekimi</t>
        </is>
      </c>
      <c r="B176" s="43" t="inlineStr">
        <is>
          <t>ABO / Medikal Estetik lead / 16.04.2026</t>
        </is>
      </c>
      <c r="C176" s="46" t="inlineStr">
        <is>
          <t>2026-06-30</t>
        </is>
      </c>
      <c r="D176" s="43" t="inlineStr">
        <is>
          <t>Estetik Marka</t>
        </is>
      </c>
      <c r="E176" s="43" t="inlineStr">
        <is>
          <t>Lead Toplama (Form)</t>
        </is>
      </c>
      <c r="F176" s="43" t="inlineStr">
        <is>
          <t>Lead - Estetik/Plastik/Saç</t>
        </is>
      </c>
      <c r="G176" s="83" t="n">
        <v>2043.81</v>
      </c>
      <c r="H176" s="43" t="inlineStr">
        <is>
          <t>Potansiyel müşteriler (form)</t>
        </is>
      </c>
      <c r="I176" s="46" t="n">
        <v>22</v>
      </c>
      <c r="J176" s="46" t="n">
        <v>14820</v>
      </c>
      <c r="K176" s="46" t="n">
        <v>18693</v>
      </c>
    </row>
    <row r="177">
      <c r="A177" s="47" t="inlineStr">
        <is>
          <t>Doruk Estetik &amp; Saç Ekimi</t>
        </is>
      </c>
      <c r="B177" s="47" t="inlineStr">
        <is>
          <t>ABO / Medikal Estetik lead / 16.04.2026</t>
        </is>
      </c>
      <c r="C177" s="50" t="inlineStr">
        <is>
          <t>2026-07-09</t>
        </is>
      </c>
      <c r="D177" s="47" t="inlineStr">
        <is>
          <t>Estetik Marka</t>
        </is>
      </c>
      <c r="E177" s="47" t="inlineStr">
        <is>
          <t>Lead Toplama (Form)</t>
        </is>
      </c>
      <c r="F177" s="47" t="inlineStr">
        <is>
          <t>Lead - Estetik/Plastik/Saç</t>
        </is>
      </c>
      <c r="G177" s="84" t="n">
        <v>1950.24</v>
      </c>
      <c r="H177" s="47" t="inlineStr">
        <is>
          <t>Potansiyel müşteriler (form)</t>
        </is>
      </c>
      <c r="I177" s="50" t="n">
        <v>17</v>
      </c>
      <c r="J177" s="50" t="n">
        <v>12605</v>
      </c>
      <c r="K177" s="50" t="n">
        <v>15036</v>
      </c>
    </row>
    <row r="178">
      <c r="A178" s="43" t="inlineStr">
        <is>
          <t>Doruk Estetik &amp; Saç Ekimi</t>
        </is>
      </c>
      <c r="B178" s="43" t="inlineStr">
        <is>
          <t>ABO / Medikal Estetik lead / 16.04.2026</t>
        </is>
      </c>
      <c r="C178" s="46" t="inlineStr">
        <is>
          <t>2026-06-29</t>
        </is>
      </c>
      <c r="D178" s="43" t="inlineStr">
        <is>
          <t>Estetik Marka</t>
        </is>
      </c>
      <c r="E178" s="43" t="inlineStr">
        <is>
          <t>Lead Toplama (Form)</t>
        </is>
      </c>
      <c r="F178" s="43" t="inlineStr">
        <is>
          <t>Lead - Estetik/Plastik/Saç</t>
        </is>
      </c>
      <c r="G178" s="83" t="n">
        <v>1915.96</v>
      </c>
      <c r="H178" s="43" t="inlineStr">
        <is>
          <t>Potansiyel müşteriler (form)</t>
        </is>
      </c>
      <c r="I178" s="46" t="n">
        <v>15</v>
      </c>
      <c r="J178" s="46" t="n">
        <v>16033</v>
      </c>
      <c r="K178" s="46" t="n">
        <v>18588</v>
      </c>
    </row>
    <row r="179">
      <c r="A179" s="47" t="inlineStr">
        <is>
          <t>Doruk Estetik &amp; Saç Ekimi</t>
        </is>
      </c>
      <c r="B179" s="47" t="inlineStr">
        <is>
          <t>ABO / Medikal Estetik lead / 16.04.2026</t>
        </is>
      </c>
      <c r="C179" s="50" t="inlineStr">
        <is>
          <t>2026-06-24</t>
        </is>
      </c>
      <c r="D179" s="47" t="inlineStr">
        <is>
          <t>Estetik Marka</t>
        </is>
      </c>
      <c r="E179" s="47" t="inlineStr">
        <is>
          <t>Lead Toplama (Form)</t>
        </is>
      </c>
      <c r="F179" s="47" t="inlineStr">
        <is>
          <t>Lead - Estetik/Plastik/Saç</t>
        </is>
      </c>
      <c r="G179" s="84" t="n">
        <v>1752.65</v>
      </c>
      <c r="H179" s="47" t="inlineStr">
        <is>
          <t>Potansiyel müşteriler (form)</t>
        </is>
      </c>
      <c r="I179" s="50" t="n">
        <v>6</v>
      </c>
      <c r="J179" s="50" t="n">
        <v>14068</v>
      </c>
      <c r="K179" s="50" t="n">
        <v>16611</v>
      </c>
    </row>
    <row r="180">
      <c r="A180" s="43" t="inlineStr">
        <is>
          <t>Doruk Estetik &amp; Saç Ekimi</t>
        </is>
      </c>
      <c r="B180" s="43" t="inlineStr">
        <is>
          <t>ABO / Medikal Estetik lead / 16.04.2026</t>
        </is>
      </c>
      <c r="C180" s="46" t="inlineStr">
        <is>
          <t>2026-07-22</t>
        </is>
      </c>
      <c r="D180" s="43" t="inlineStr">
        <is>
          <t>Estetik Marka</t>
        </is>
      </c>
      <c r="E180" s="43" t="inlineStr">
        <is>
          <t>Lead Toplama (Form)</t>
        </is>
      </c>
      <c r="F180" s="43" t="inlineStr">
        <is>
          <t>Lead - Estetik/Plastik/Saç</t>
        </is>
      </c>
      <c r="G180" s="83" t="n">
        <v>1513.14</v>
      </c>
      <c r="H180" s="43" t="inlineStr">
        <is>
          <t>Potansiyel müşteriler (form)</t>
        </is>
      </c>
      <c r="I180" s="46" t="n">
        <v>10</v>
      </c>
      <c r="J180" s="46" t="n">
        <v>11290</v>
      </c>
      <c r="K180" s="46" t="n">
        <v>13673</v>
      </c>
    </row>
    <row r="181">
      <c r="A181" s="47" t="inlineStr">
        <is>
          <t>Doruk Estetik &amp; Saç Ekimi</t>
        </is>
      </c>
      <c r="B181" s="47" t="inlineStr">
        <is>
          <t>ABO / Medikal Estetik lead / 16.04.2026</t>
        </is>
      </c>
      <c r="C181" s="50" t="inlineStr">
        <is>
          <t>2026-07-05</t>
        </is>
      </c>
      <c r="D181" s="47" t="inlineStr">
        <is>
          <t>Estetik Marka</t>
        </is>
      </c>
      <c r="E181" s="47" t="inlineStr">
        <is>
          <t>Lead Toplama (Form)</t>
        </is>
      </c>
      <c r="F181" s="47" t="inlineStr">
        <is>
          <t>Lead - Estetik/Plastik/Saç</t>
        </is>
      </c>
      <c r="G181" s="84" t="n">
        <v>1395.12</v>
      </c>
      <c r="H181" s="47" t="inlineStr">
        <is>
          <t>Potansiyel müşteriler (form)</t>
        </is>
      </c>
      <c r="I181" s="50" t="n">
        <v>15</v>
      </c>
      <c r="J181" s="50" t="n">
        <v>8569</v>
      </c>
      <c r="K181" s="50" t="n">
        <v>10419</v>
      </c>
    </row>
    <row r="182">
      <c r="A182" s="43" t="inlineStr">
        <is>
          <t>Doruk Estetik &amp; Saç Ekimi</t>
        </is>
      </c>
      <c r="B182" s="43" t="inlineStr">
        <is>
          <t>ABO / Medikal Estetik lead / 16.04.2026</t>
        </is>
      </c>
      <c r="C182" s="46" t="inlineStr">
        <is>
          <t>2026-07-11</t>
        </is>
      </c>
      <c r="D182" s="43" t="inlineStr">
        <is>
          <t>Estetik Marka</t>
        </is>
      </c>
      <c r="E182" s="43" t="inlineStr">
        <is>
          <t>Lead Toplama (Form)</t>
        </is>
      </c>
      <c r="F182" s="43" t="inlineStr">
        <is>
          <t>Lead - Estetik/Plastik/Saç</t>
        </is>
      </c>
      <c r="G182" s="83" t="n">
        <v>781.6</v>
      </c>
      <c r="H182" s="43" t="inlineStr">
        <is>
          <t>Potansiyel müşteriler (form)</t>
        </is>
      </c>
      <c r="I182" s="46" t="n">
        <v>10</v>
      </c>
      <c r="J182" s="46" t="n">
        <v>6282</v>
      </c>
      <c r="K182" s="46" t="n">
        <v>7063</v>
      </c>
    </row>
    <row r="183">
      <c r="A183" s="47" t="inlineStr">
        <is>
          <t>Doruk Estetik &amp; Saç Ekimi</t>
        </is>
      </c>
      <c r="B183" s="47" t="inlineStr">
        <is>
          <t>ABO / Medikal Estetik lead / 16.04.2026</t>
        </is>
      </c>
      <c r="C183" s="50" t="inlineStr">
        <is>
          <t>2026-07-21</t>
        </is>
      </c>
      <c r="D183" s="47" t="inlineStr">
        <is>
          <t>Estetik Marka</t>
        </is>
      </c>
      <c r="E183" s="47" t="inlineStr">
        <is>
          <t>Lead Toplama (Form)</t>
        </is>
      </c>
      <c r="F183" s="47" t="inlineStr">
        <is>
          <t>Lead - Estetik/Plastik/Saç</t>
        </is>
      </c>
      <c r="G183" s="84" t="n">
        <v>745.41</v>
      </c>
      <c r="H183" s="47" t="inlineStr">
        <is>
          <t>Potansiyel müşteriler (form)</t>
        </is>
      </c>
      <c r="I183" s="50" t="n">
        <v>7</v>
      </c>
      <c r="J183" s="50" t="n">
        <v>5838</v>
      </c>
      <c r="K183" s="50" t="n">
        <v>6525</v>
      </c>
    </row>
    <row r="184">
      <c r="A184" s="43" t="inlineStr">
        <is>
          <t>Doruk Estetik &amp; Saç Ekimi</t>
        </is>
      </c>
      <c r="B184" s="43" t="inlineStr">
        <is>
          <t>ABO / Medikal Estetik lead / 16.04.2026</t>
        </is>
      </c>
      <c r="C184" s="46" t="inlineStr">
        <is>
          <t>2026-07-14</t>
        </is>
      </c>
      <c r="D184" s="43" t="inlineStr">
        <is>
          <t>Estetik Marka</t>
        </is>
      </c>
      <c r="E184" s="43" t="inlineStr">
        <is>
          <t>Lead Toplama (Form)</t>
        </is>
      </c>
      <c r="F184" s="43" t="inlineStr">
        <is>
          <t>Lead - Estetik/Plastik/Saç</t>
        </is>
      </c>
      <c r="G184" s="83" t="n">
        <v>589.04</v>
      </c>
      <c r="H184" s="43" t="inlineStr">
        <is>
          <t>Potansiyel müşteriler (form)</t>
        </is>
      </c>
      <c r="I184" s="46" t="n">
        <v>3</v>
      </c>
      <c r="J184" s="46" t="n">
        <v>5869</v>
      </c>
      <c r="K184" s="46" t="n">
        <v>6239</v>
      </c>
    </row>
    <row r="185">
      <c r="A185" s="47" t="inlineStr">
        <is>
          <t>Doruk Estetik &amp; Saç Ekimi</t>
        </is>
      </c>
      <c r="B185" s="47" t="inlineStr">
        <is>
          <t>ABO / Medikal Estetik lead / 16.04.2026</t>
        </is>
      </c>
      <c r="C185" s="50" t="inlineStr">
        <is>
          <t>2026-07-06</t>
        </is>
      </c>
      <c r="D185" s="47" t="inlineStr">
        <is>
          <t>Estetik Marka</t>
        </is>
      </c>
      <c r="E185" s="47" t="inlineStr">
        <is>
          <t>Lead Toplama (Form)</t>
        </is>
      </c>
      <c r="F185" s="47" t="inlineStr">
        <is>
          <t>Lead - Estetik/Plastik/Saç</t>
        </is>
      </c>
      <c r="G185" s="84" t="n">
        <v>379.16</v>
      </c>
      <c r="H185" s="47" t="inlineStr">
        <is>
          <t>Potansiyel müşteriler (form)</t>
        </is>
      </c>
      <c r="I185" s="50" t="n">
        <v>6</v>
      </c>
      <c r="J185" s="50" t="n">
        <v>2421</v>
      </c>
      <c r="K185" s="50" t="n">
        <v>2734</v>
      </c>
    </row>
    <row r="186">
      <c r="A186" s="43" t="inlineStr">
        <is>
          <t>Doruk Hastaneleri</t>
        </is>
      </c>
      <c r="B186" s="43" t="inlineStr">
        <is>
          <t>Instagram gönderisi: Bir sezon boyunca ortaya...</t>
        </is>
      </c>
      <c r="C186" s="46" t="inlineStr">
        <is>
          <t>2026-06-27</t>
        </is>
      </c>
      <c r="D186" s="43" t="inlineStr">
        <is>
          <t>Hastane (Kurumsal)</t>
        </is>
      </c>
      <c r="E186" s="43" t="inlineStr">
        <is>
          <t>Instagram Öne Çıkarma</t>
        </is>
      </c>
      <c r="F186" s="43" t="inlineStr">
        <is>
          <t>Öne Çıkarma - Doruk Hastaneleri</t>
        </is>
      </c>
      <c r="G186" s="83" t="n">
        <v>6851.98</v>
      </c>
      <c r="H186" s="43" t="inlineStr">
        <is>
          <t>Instagram profili ziyaretleri</t>
        </is>
      </c>
      <c r="I186" s="46" t="n">
        <v>1117</v>
      </c>
      <c r="J186" s="46" t="n">
        <v>81921</v>
      </c>
      <c r="K186" s="46" t="n">
        <v>90872</v>
      </c>
    </row>
    <row r="187">
      <c r="A187" s="47" t="inlineStr">
        <is>
          <t>Doruk Hastaneleri</t>
        </is>
      </c>
      <c r="B187" s="47" t="inlineStr">
        <is>
          <t>Instagram gönderisi: Bir sezon boyunca ortaya...</t>
        </is>
      </c>
      <c r="C187" s="50" t="inlineStr">
        <is>
          <t>2026-07-18</t>
        </is>
      </c>
      <c r="D187" s="47" t="inlineStr">
        <is>
          <t>Hastane (Kurumsal)</t>
        </is>
      </c>
      <c r="E187" s="47" t="inlineStr">
        <is>
          <t>Instagram Öne Çıkarma</t>
        </is>
      </c>
      <c r="F187" s="47" t="inlineStr">
        <is>
          <t>Öne Çıkarma - Doruk Hastaneleri</t>
        </is>
      </c>
      <c r="G187" s="84" t="n">
        <v>6367.51</v>
      </c>
      <c r="H187" s="47" t="inlineStr">
        <is>
          <t>Instagram profili ziyaretleri</t>
        </is>
      </c>
      <c r="I187" s="50" t="n">
        <v>1383</v>
      </c>
      <c r="J187" s="50" t="n">
        <v>100284</v>
      </c>
      <c r="K187" s="50" t="n">
        <v>116538</v>
      </c>
    </row>
    <row r="188">
      <c r="A188" s="43" t="inlineStr">
        <is>
          <t>Doruk Hastaneleri</t>
        </is>
      </c>
      <c r="B188" s="43" t="inlineStr">
        <is>
          <t>Instagram gönderisi: Bir sezon boyunca ortaya...</t>
        </is>
      </c>
      <c r="C188" s="46" t="inlineStr">
        <is>
          <t>2026-07-16</t>
        </is>
      </c>
      <c r="D188" s="43" t="inlineStr">
        <is>
          <t>Hastane (Kurumsal)</t>
        </is>
      </c>
      <c r="E188" s="43" t="inlineStr">
        <is>
          <t>Instagram Öne Çıkarma</t>
        </is>
      </c>
      <c r="F188" s="43" t="inlineStr">
        <is>
          <t>Öne Çıkarma - Doruk Hastaneleri</t>
        </is>
      </c>
      <c r="G188" s="83" t="n">
        <v>5617.01</v>
      </c>
      <c r="H188" s="43" t="inlineStr">
        <is>
          <t>Instagram profili ziyaretleri</t>
        </is>
      </c>
      <c r="I188" s="46" t="n">
        <v>1183</v>
      </c>
      <c r="J188" s="46" t="n">
        <v>75680</v>
      </c>
      <c r="K188" s="46" t="n">
        <v>84038</v>
      </c>
    </row>
    <row r="189">
      <c r="A189" s="47" t="inlineStr">
        <is>
          <t>Doruk Hastaneleri</t>
        </is>
      </c>
      <c r="B189" s="47" t="inlineStr">
        <is>
          <t>Instagram gönderisi: Bir sezon boyunca ortaya...</t>
        </is>
      </c>
      <c r="C189" s="50" t="inlineStr">
        <is>
          <t>2026-06-26</t>
        </is>
      </c>
      <c r="D189" s="47" t="inlineStr">
        <is>
          <t>Hastane (Kurumsal)</t>
        </is>
      </c>
      <c r="E189" s="47" t="inlineStr">
        <is>
          <t>Instagram Öne Çıkarma</t>
        </is>
      </c>
      <c r="F189" s="47" t="inlineStr">
        <is>
          <t>Öne Çıkarma - Doruk Hastaneleri</t>
        </is>
      </c>
      <c r="G189" s="84" t="n">
        <v>5277.94</v>
      </c>
      <c r="H189" s="47" t="inlineStr">
        <is>
          <t>Instagram profili ziyaretleri</t>
        </is>
      </c>
      <c r="I189" s="50" t="n">
        <v>873</v>
      </c>
      <c r="J189" s="50" t="n">
        <v>60144</v>
      </c>
      <c r="K189" s="50" t="n">
        <v>69172</v>
      </c>
    </row>
    <row r="190">
      <c r="A190" s="43" t="inlineStr">
        <is>
          <t>Doruk Hastaneleri</t>
        </is>
      </c>
      <c r="B190" s="43" t="inlineStr">
        <is>
          <t>Instagram gönderisi: Bir sezon boyunca ortaya...</t>
        </is>
      </c>
      <c r="C190" s="46" t="inlineStr">
        <is>
          <t>2026-07-10</t>
        </is>
      </c>
      <c r="D190" s="43" t="inlineStr">
        <is>
          <t>Hastane (Kurumsal)</t>
        </is>
      </c>
      <c r="E190" s="43" t="inlineStr">
        <is>
          <t>Instagram Öne Çıkarma</t>
        </is>
      </c>
      <c r="F190" s="43" t="inlineStr">
        <is>
          <t>Öne Çıkarma - Doruk Hastaneleri</t>
        </is>
      </c>
      <c r="G190" s="83" t="n">
        <v>5256.93</v>
      </c>
      <c r="H190" s="43" t="inlineStr">
        <is>
          <t>Instagram profili ziyaretleri</t>
        </is>
      </c>
      <c r="I190" s="46" t="n">
        <v>1100</v>
      </c>
      <c r="J190" s="46" t="n">
        <v>89476</v>
      </c>
      <c r="K190" s="46" t="n">
        <v>101528</v>
      </c>
    </row>
    <row r="191">
      <c r="A191" s="47" t="inlineStr">
        <is>
          <t>Doruk Hastaneleri</t>
        </is>
      </c>
      <c r="B191" s="47" t="inlineStr">
        <is>
          <t>Instagram gönderisi: Doruk Sağlık Grubu olarak,...</t>
        </is>
      </c>
      <c r="C191" s="50" t="inlineStr">
        <is>
          <t>2026-07-18</t>
        </is>
      </c>
      <c r="D191" s="47" t="inlineStr">
        <is>
          <t>Hastane (Kurumsal)</t>
        </is>
      </c>
      <c r="E191" s="47" t="inlineStr">
        <is>
          <t>Instagram Öne Çıkarma</t>
        </is>
      </c>
      <c r="F191" s="47" t="inlineStr">
        <is>
          <t>Öne Çıkarma - Doruk Hastaneleri</t>
        </is>
      </c>
      <c r="G191" s="84" t="n">
        <v>4703.02</v>
      </c>
      <c r="H191" s="47" t="inlineStr">
        <is>
          <t>Instagram profili ziyaretleri</t>
        </is>
      </c>
      <c r="I191" s="50" t="n">
        <v>941</v>
      </c>
      <c r="J191" s="50" t="n">
        <v>65029</v>
      </c>
      <c r="K191" s="50" t="n">
        <v>74529</v>
      </c>
    </row>
    <row r="192">
      <c r="A192" s="43" t="inlineStr">
        <is>
          <t>Doruk Hastaneleri</t>
        </is>
      </c>
      <c r="B192" s="43" t="inlineStr">
        <is>
          <t>Instagram gönderisi: Bir sezon boyunca ortaya...</t>
        </is>
      </c>
      <c r="C192" s="46" t="inlineStr">
        <is>
          <t>2026-07-01</t>
        </is>
      </c>
      <c r="D192" s="43" t="inlineStr">
        <is>
          <t>Hastane (Kurumsal)</t>
        </is>
      </c>
      <c r="E192" s="43" t="inlineStr">
        <is>
          <t>Instagram Öne Çıkarma</t>
        </is>
      </c>
      <c r="F192" s="43" t="inlineStr">
        <is>
          <t>Öne Çıkarma - Doruk Hastaneleri</t>
        </is>
      </c>
      <c r="G192" s="83" t="n">
        <v>4680.76</v>
      </c>
      <c r="H192" s="43" t="inlineStr">
        <is>
          <t>Instagram profili ziyaretleri</t>
        </is>
      </c>
      <c r="I192" s="46" t="n">
        <v>1077</v>
      </c>
      <c r="J192" s="46" t="n">
        <v>74550</v>
      </c>
      <c r="K192" s="46" t="n">
        <v>84220</v>
      </c>
    </row>
    <row r="193">
      <c r="A193" s="47" t="inlineStr">
        <is>
          <t>Doruk Hastaneleri</t>
        </is>
      </c>
      <c r="B193" s="47" t="inlineStr">
        <is>
          <t>Instagram gönderisi: Bir sezon boyunca ortaya...</t>
        </is>
      </c>
      <c r="C193" s="50" t="inlineStr">
        <is>
          <t>2026-07-15</t>
        </is>
      </c>
      <c r="D193" s="47" t="inlineStr">
        <is>
          <t>Hastane (Kurumsal)</t>
        </is>
      </c>
      <c r="E193" s="47" t="inlineStr">
        <is>
          <t>Instagram Öne Çıkarma</t>
        </is>
      </c>
      <c r="F193" s="47" t="inlineStr">
        <is>
          <t>Öne Çıkarma - Doruk Hastaneleri</t>
        </is>
      </c>
      <c r="G193" s="84" t="n">
        <v>4599.17</v>
      </c>
      <c r="H193" s="47" t="inlineStr">
        <is>
          <t>Instagram profili ziyaretleri</t>
        </is>
      </c>
      <c r="I193" s="50" t="n">
        <v>826</v>
      </c>
      <c r="J193" s="50" t="n">
        <v>51349</v>
      </c>
      <c r="K193" s="50" t="n">
        <v>56541</v>
      </c>
    </row>
    <row r="194">
      <c r="A194" s="43" t="inlineStr">
        <is>
          <t>Doruk Hastaneleri</t>
        </is>
      </c>
      <c r="B194" s="43" t="inlineStr">
        <is>
          <t>Instagram gönderisi: Bir sezon boyunca ortaya...</t>
        </is>
      </c>
      <c r="C194" s="46" t="inlineStr">
        <is>
          <t>2026-07-08</t>
        </is>
      </c>
      <c r="D194" s="43" t="inlineStr">
        <is>
          <t>Hastane (Kurumsal)</t>
        </is>
      </c>
      <c r="E194" s="43" t="inlineStr">
        <is>
          <t>Instagram Öne Çıkarma</t>
        </is>
      </c>
      <c r="F194" s="43" t="inlineStr">
        <is>
          <t>Öne Çıkarma - Doruk Hastaneleri</t>
        </is>
      </c>
      <c r="G194" s="83" t="n">
        <v>4544.02</v>
      </c>
      <c r="H194" s="43" t="inlineStr">
        <is>
          <t>Instagram profili ziyaretleri</t>
        </is>
      </c>
      <c r="I194" s="46" t="n">
        <v>943</v>
      </c>
      <c r="J194" s="46" t="n">
        <v>74050</v>
      </c>
      <c r="K194" s="46" t="n">
        <v>84377</v>
      </c>
    </row>
    <row r="195">
      <c r="A195" s="47" t="inlineStr">
        <is>
          <t>Doruk Hastaneleri</t>
        </is>
      </c>
      <c r="B195" s="47" t="inlineStr">
        <is>
          <t>Instagram gönderisi: Bir sezon boyunca ortaya...</t>
        </is>
      </c>
      <c r="C195" s="50" t="inlineStr">
        <is>
          <t>2026-06-28</t>
        </is>
      </c>
      <c r="D195" s="47" t="inlineStr">
        <is>
          <t>Hastane (Kurumsal)</t>
        </is>
      </c>
      <c r="E195" s="47" t="inlineStr">
        <is>
          <t>Instagram Öne Çıkarma</t>
        </is>
      </c>
      <c r="F195" s="47" t="inlineStr">
        <is>
          <t>Öne Çıkarma - Doruk Hastaneleri</t>
        </is>
      </c>
      <c r="G195" s="84" t="n">
        <v>4360.37</v>
      </c>
      <c r="H195" s="47" t="inlineStr">
        <is>
          <t>Instagram profili ziyaretleri</t>
        </is>
      </c>
      <c r="I195" s="50" t="n">
        <v>758</v>
      </c>
      <c r="J195" s="50" t="n">
        <v>51286</v>
      </c>
      <c r="K195" s="50" t="n">
        <v>56985</v>
      </c>
    </row>
    <row r="196">
      <c r="A196" s="43" t="inlineStr">
        <is>
          <t>Doruk Hastaneleri</t>
        </is>
      </c>
      <c r="B196" s="43" t="inlineStr">
        <is>
          <t>Instagram gönderisi: Bir sezon boyunca ortaya...</t>
        </is>
      </c>
      <c r="C196" s="46" t="inlineStr">
        <is>
          <t>2026-07-04</t>
        </is>
      </c>
      <c r="D196" s="43" t="inlineStr">
        <is>
          <t>Hastane (Kurumsal)</t>
        </is>
      </c>
      <c r="E196" s="43" t="inlineStr">
        <is>
          <t>Instagram Öne Çıkarma</t>
        </is>
      </c>
      <c r="F196" s="43" t="inlineStr">
        <is>
          <t>Öne Çıkarma - Doruk Hastaneleri</t>
        </is>
      </c>
      <c r="G196" s="83" t="n">
        <v>4328.79</v>
      </c>
      <c r="H196" s="43" t="inlineStr">
        <is>
          <t>Instagram profili ziyaretleri</t>
        </is>
      </c>
      <c r="I196" s="46" t="n">
        <v>1033</v>
      </c>
      <c r="J196" s="46" t="n">
        <v>72278</v>
      </c>
      <c r="K196" s="46" t="n">
        <v>80154</v>
      </c>
    </row>
    <row r="197">
      <c r="A197" s="47" t="inlineStr">
        <is>
          <t>Doruk Hastaneleri</t>
        </is>
      </c>
      <c r="B197" s="47" t="inlineStr">
        <is>
          <t>Instagram gönderisi: Bir sezon boyunca ortaya...</t>
        </is>
      </c>
      <c r="C197" s="50" t="inlineStr">
        <is>
          <t>2026-07-03</t>
        </is>
      </c>
      <c r="D197" s="47" t="inlineStr">
        <is>
          <t>Hastane (Kurumsal)</t>
        </is>
      </c>
      <c r="E197" s="47" t="inlineStr">
        <is>
          <t>Instagram Öne Çıkarma</t>
        </is>
      </c>
      <c r="F197" s="47" t="inlineStr">
        <is>
          <t>Öne Çıkarma - Doruk Hastaneleri</t>
        </is>
      </c>
      <c r="G197" s="84" t="n">
        <v>4242.28</v>
      </c>
      <c r="H197" s="47" t="inlineStr">
        <is>
          <t>Instagram profili ziyaretleri</t>
        </is>
      </c>
      <c r="I197" s="50" t="n">
        <v>1047</v>
      </c>
      <c r="J197" s="50" t="n">
        <v>67813</v>
      </c>
      <c r="K197" s="50" t="n">
        <v>76077</v>
      </c>
    </row>
    <row r="198">
      <c r="A198" s="43" t="inlineStr">
        <is>
          <t>Doruk Hastaneleri</t>
        </is>
      </c>
      <c r="B198" s="43" t="inlineStr">
        <is>
          <t>Instagram gönderisi: Bir sezon boyunca ortaya...</t>
        </is>
      </c>
      <c r="C198" s="46" t="inlineStr">
        <is>
          <t>2026-07-02</t>
        </is>
      </c>
      <c r="D198" s="43" t="inlineStr">
        <is>
          <t>Hastane (Kurumsal)</t>
        </is>
      </c>
      <c r="E198" s="43" t="inlineStr">
        <is>
          <t>Instagram Öne Çıkarma</t>
        </is>
      </c>
      <c r="F198" s="43" t="inlineStr">
        <is>
          <t>Öne Çıkarma - Doruk Hastaneleri</t>
        </is>
      </c>
      <c r="G198" s="83" t="n">
        <v>4039.18</v>
      </c>
      <c r="H198" s="43" t="inlineStr">
        <is>
          <t>Instagram profili ziyaretleri</t>
        </is>
      </c>
      <c r="I198" s="46" t="n">
        <v>983</v>
      </c>
      <c r="J198" s="46" t="n">
        <v>64024</v>
      </c>
      <c r="K198" s="46" t="n">
        <v>72873</v>
      </c>
    </row>
    <row r="199">
      <c r="A199" s="47" t="inlineStr">
        <is>
          <t>Doruk Hastaneleri</t>
        </is>
      </c>
      <c r="B199" s="47" t="inlineStr">
        <is>
          <t>Instagram gönderisi: Doruk Sağlık Grubu olarak,...</t>
        </is>
      </c>
      <c r="C199" s="50" t="inlineStr">
        <is>
          <t>2026-07-10</t>
        </is>
      </c>
      <c r="D199" s="47" t="inlineStr">
        <is>
          <t>Hastane (Kurumsal)</t>
        </is>
      </c>
      <c r="E199" s="47" t="inlineStr">
        <is>
          <t>Instagram Öne Çıkarma</t>
        </is>
      </c>
      <c r="F199" s="47" t="inlineStr">
        <is>
          <t>Öne Çıkarma - Doruk Hastaneleri</t>
        </is>
      </c>
      <c r="G199" s="84" t="n">
        <v>3923.96</v>
      </c>
      <c r="H199" s="47" t="inlineStr">
        <is>
          <t>Instagram profili ziyaretleri</t>
        </is>
      </c>
      <c r="I199" s="50" t="n">
        <v>884</v>
      </c>
      <c r="J199" s="50" t="n">
        <v>54003</v>
      </c>
      <c r="K199" s="50" t="n">
        <v>58602</v>
      </c>
    </row>
    <row r="200">
      <c r="A200" s="43" t="inlineStr">
        <is>
          <t>Doruk Hastaneleri</t>
        </is>
      </c>
      <c r="B200" s="43" t="inlineStr">
        <is>
          <t>Instagram gönderisi: Doruk Sağlık Grubu olarak,...</t>
        </is>
      </c>
      <c r="C200" s="46" t="inlineStr">
        <is>
          <t>2026-07-16</t>
        </is>
      </c>
      <c r="D200" s="43" t="inlineStr">
        <is>
          <t>Hastane (Kurumsal)</t>
        </is>
      </c>
      <c r="E200" s="43" t="inlineStr">
        <is>
          <t>Instagram Öne Çıkarma</t>
        </is>
      </c>
      <c r="F200" s="43" t="inlineStr">
        <is>
          <t>Öne Çıkarma - Doruk Hastaneleri</t>
        </is>
      </c>
      <c r="G200" s="83" t="n">
        <v>3714.23</v>
      </c>
      <c r="H200" s="43" t="inlineStr">
        <is>
          <t>Instagram profili ziyaretleri</t>
        </is>
      </c>
      <c r="I200" s="46" t="n">
        <v>812</v>
      </c>
      <c r="J200" s="46" t="n">
        <v>42523</v>
      </c>
      <c r="K200" s="46" t="n">
        <v>47208</v>
      </c>
    </row>
    <row r="201">
      <c r="A201" s="47" t="inlineStr">
        <is>
          <t>Doruk Hastaneleri</t>
        </is>
      </c>
      <c r="B201" s="47" t="inlineStr">
        <is>
          <t>Instagram gönderisi: Bir sezon boyunca ortaya...</t>
        </is>
      </c>
      <c r="C201" s="50" t="inlineStr">
        <is>
          <t>2026-07-17</t>
        </is>
      </c>
      <c r="D201" s="47" t="inlineStr">
        <is>
          <t>Hastane (Kurumsal)</t>
        </is>
      </c>
      <c r="E201" s="47" t="inlineStr">
        <is>
          <t>Instagram Öne Çıkarma</t>
        </is>
      </c>
      <c r="F201" s="47" t="inlineStr">
        <is>
          <t>Öne Çıkarma - Doruk Hastaneleri</t>
        </is>
      </c>
      <c r="G201" s="84" t="n">
        <v>3652.58</v>
      </c>
      <c r="H201" s="47" t="inlineStr">
        <is>
          <t>Instagram profili ziyaretleri</t>
        </is>
      </c>
      <c r="I201" s="50" t="n">
        <v>780</v>
      </c>
      <c r="J201" s="50" t="n">
        <v>57895</v>
      </c>
      <c r="K201" s="50" t="n">
        <v>61449</v>
      </c>
    </row>
    <row r="202">
      <c r="A202" s="43" t="inlineStr">
        <is>
          <t>Doruk Hastaneleri</t>
        </is>
      </c>
      <c r="B202" s="43" t="inlineStr">
        <is>
          <t>Instagram gönderisi: Bir sezon boyunca ortaya...</t>
        </is>
      </c>
      <c r="C202" s="46" t="inlineStr">
        <is>
          <t>2026-06-23</t>
        </is>
      </c>
      <c r="D202" s="43" t="inlineStr">
        <is>
          <t>Hastane (Kurumsal)</t>
        </is>
      </c>
      <c r="E202" s="43" t="inlineStr">
        <is>
          <t>Instagram Öne Çıkarma</t>
        </is>
      </c>
      <c r="F202" s="43" t="inlineStr">
        <is>
          <t>Öne Çıkarma - Doruk Hastaneleri</t>
        </is>
      </c>
      <c r="G202" s="83" t="n">
        <v>3542.02</v>
      </c>
      <c r="H202" s="43" t="inlineStr">
        <is>
          <t>Instagram profili ziyaretleri</t>
        </is>
      </c>
      <c r="I202" s="46" t="n">
        <v>586</v>
      </c>
      <c r="J202" s="46" t="n">
        <v>46928</v>
      </c>
      <c r="K202" s="46" t="n">
        <v>50719</v>
      </c>
    </row>
    <row r="203">
      <c r="A203" s="47" t="inlineStr">
        <is>
          <t>Doruk Hastaneleri</t>
        </is>
      </c>
      <c r="B203" s="47" t="inlineStr">
        <is>
          <t>Instagram gönderisi: Bir sezon boyunca ortaya...</t>
        </is>
      </c>
      <c r="C203" s="50" t="inlineStr">
        <is>
          <t>2026-06-30</t>
        </is>
      </c>
      <c r="D203" s="47" t="inlineStr">
        <is>
          <t>Hastane (Kurumsal)</t>
        </is>
      </c>
      <c r="E203" s="47" t="inlineStr">
        <is>
          <t>Instagram Öne Çıkarma</t>
        </is>
      </c>
      <c r="F203" s="47" t="inlineStr">
        <is>
          <t>Öne Çıkarma - Doruk Hastaneleri</t>
        </is>
      </c>
      <c r="G203" s="84" t="n">
        <v>3451.9</v>
      </c>
      <c r="H203" s="47" t="inlineStr">
        <is>
          <t>Instagram profili ziyaretleri</t>
        </is>
      </c>
      <c r="I203" s="50" t="n">
        <v>629</v>
      </c>
      <c r="J203" s="50" t="n">
        <v>41795</v>
      </c>
      <c r="K203" s="50" t="n">
        <v>47363</v>
      </c>
    </row>
    <row r="204">
      <c r="A204" s="43" t="inlineStr">
        <is>
          <t>Doruk Hastaneleri</t>
        </is>
      </c>
      <c r="B204" s="43" t="inlineStr">
        <is>
          <t>Instagram gönderisi: Doruk Sağlık Grubu olarak,...</t>
        </is>
      </c>
      <c r="C204" s="46" t="inlineStr">
        <is>
          <t>2026-07-08</t>
        </is>
      </c>
      <c r="D204" s="43" t="inlineStr">
        <is>
          <t>Hastane (Kurumsal)</t>
        </is>
      </c>
      <c r="E204" s="43" t="inlineStr">
        <is>
          <t>Instagram Öne Çıkarma</t>
        </is>
      </c>
      <c r="F204" s="43" t="inlineStr">
        <is>
          <t>Öne Çıkarma - Doruk Hastaneleri</t>
        </is>
      </c>
      <c r="G204" s="83" t="n">
        <v>3372.85</v>
      </c>
      <c r="H204" s="43" t="inlineStr">
        <is>
          <t>Instagram profili ziyaretleri</t>
        </is>
      </c>
      <c r="I204" s="46" t="n">
        <v>782</v>
      </c>
      <c r="J204" s="46" t="n">
        <v>46648</v>
      </c>
      <c r="K204" s="46" t="n">
        <v>49974</v>
      </c>
    </row>
    <row r="205">
      <c r="A205" s="47" t="inlineStr">
        <is>
          <t>Doruk Hastaneleri</t>
        </is>
      </c>
      <c r="B205" s="47" t="inlineStr">
        <is>
          <t>Instagram gönderisi: Doruk Sağlık Grubu olarak,...</t>
        </is>
      </c>
      <c r="C205" s="50" t="inlineStr">
        <is>
          <t>2026-07-15</t>
        </is>
      </c>
      <c r="D205" s="47" t="inlineStr">
        <is>
          <t>Hastane (Kurumsal)</t>
        </is>
      </c>
      <c r="E205" s="47" t="inlineStr">
        <is>
          <t>Instagram Öne Çıkarma</t>
        </is>
      </c>
      <c r="F205" s="47" t="inlineStr">
        <is>
          <t>Öne Çıkarma - Doruk Hastaneleri</t>
        </is>
      </c>
      <c r="G205" s="84" t="n">
        <v>3337.8</v>
      </c>
      <c r="H205" s="47" t="inlineStr">
        <is>
          <t>Instagram profili ziyaretleri</t>
        </is>
      </c>
      <c r="I205" s="50" t="n">
        <v>557</v>
      </c>
      <c r="J205" s="50" t="n">
        <v>36397</v>
      </c>
      <c r="K205" s="50" t="n">
        <v>38218</v>
      </c>
    </row>
    <row r="206">
      <c r="A206" s="43" t="inlineStr">
        <is>
          <t>Doruk Hastaneleri</t>
        </is>
      </c>
      <c r="B206" s="43" t="inlineStr">
        <is>
          <t>Instagram gönderisi: Bir sezon boyunca ortaya...</t>
        </is>
      </c>
      <c r="C206" s="46" t="inlineStr">
        <is>
          <t>2026-07-13</t>
        </is>
      </c>
      <c r="D206" s="43" t="inlineStr">
        <is>
          <t>Hastane (Kurumsal)</t>
        </is>
      </c>
      <c r="E206" s="43" t="inlineStr">
        <is>
          <t>Instagram Öne Çıkarma</t>
        </is>
      </c>
      <c r="F206" s="43" t="inlineStr">
        <is>
          <t>Öne Çıkarma - Doruk Hastaneleri</t>
        </is>
      </c>
      <c r="G206" s="83" t="n">
        <v>3192.47</v>
      </c>
      <c r="H206" s="43" t="inlineStr">
        <is>
          <t>Instagram profili ziyaretleri</t>
        </is>
      </c>
      <c r="I206" s="46" t="n">
        <v>704</v>
      </c>
      <c r="J206" s="46" t="n">
        <v>55744</v>
      </c>
      <c r="K206" s="46" t="n">
        <v>63360</v>
      </c>
    </row>
    <row r="207">
      <c r="A207" s="47" t="inlineStr">
        <is>
          <t>Doruk Hastaneleri</t>
        </is>
      </c>
      <c r="B207" s="47" t="inlineStr">
        <is>
          <t>Instagram gönderisi: Bir sezon boyunca ortaya...</t>
        </is>
      </c>
      <c r="C207" s="50" t="inlineStr">
        <is>
          <t>2026-07-20</t>
        </is>
      </c>
      <c r="D207" s="47" t="inlineStr">
        <is>
          <t>Hastane (Kurumsal)</t>
        </is>
      </c>
      <c r="E207" s="47" t="inlineStr">
        <is>
          <t>Instagram Öne Çıkarma</t>
        </is>
      </c>
      <c r="F207" s="47" t="inlineStr">
        <is>
          <t>Öne Çıkarma - Doruk Hastaneleri</t>
        </is>
      </c>
      <c r="G207" s="84" t="n">
        <v>3073.8</v>
      </c>
      <c r="H207" s="47" t="inlineStr">
        <is>
          <t>Instagram profili ziyaretleri</t>
        </is>
      </c>
      <c r="I207" s="50" t="n">
        <v>669</v>
      </c>
      <c r="J207" s="50" t="n">
        <v>51164</v>
      </c>
      <c r="K207" s="50" t="n">
        <v>56465</v>
      </c>
    </row>
    <row r="208">
      <c r="A208" s="43" t="inlineStr">
        <is>
          <t>Doruk Hastaneleri</t>
        </is>
      </c>
      <c r="B208" s="43" t="inlineStr">
        <is>
          <t>Instagram gönderisi: Bir sezon boyunca ortaya...</t>
        </is>
      </c>
      <c r="C208" s="46" t="inlineStr">
        <is>
          <t>2026-07-09</t>
        </is>
      </c>
      <c r="D208" s="43" t="inlineStr">
        <is>
          <t>Hastane (Kurumsal)</t>
        </is>
      </c>
      <c r="E208" s="43" t="inlineStr">
        <is>
          <t>Instagram Öne Çıkarma</t>
        </is>
      </c>
      <c r="F208" s="43" t="inlineStr">
        <is>
          <t>Öne Çıkarma - Doruk Hastaneleri</t>
        </is>
      </c>
      <c r="G208" s="83" t="n">
        <v>3012.72</v>
      </c>
      <c r="H208" s="43" t="inlineStr">
        <is>
          <t>Instagram profili ziyaretleri</t>
        </is>
      </c>
      <c r="I208" s="46" t="n">
        <v>635</v>
      </c>
      <c r="J208" s="46" t="n">
        <v>49163</v>
      </c>
      <c r="K208" s="46" t="n">
        <v>53997</v>
      </c>
    </row>
    <row r="209">
      <c r="A209" s="47" t="inlineStr">
        <is>
          <t>Doruk Hastaneleri</t>
        </is>
      </c>
      <c r="B209" s="47" t="inlineStr">
        <is>
          <t>Instagram gönderisi: Doruk Sağlık Grubu olarak,...</t>
        </is>
      </c>
      <c r="C209" s="50" t="inlineStr">
        <is>
          <t>2026-07-04</t>
        </is>
      </c>
      <c r="D209" s="47" t="inlineStr">
        <is>
          <t>Hastane (Kurumsal)</t>
        </is>
      </c>
      <c r="E209" s="47" t="inlineStr">
        <is>
          <t>Instagram Öne Çıkarma</t>
        </is>
      </c>
      <c r="F209" s="47" t="inlineStr">
        <is>
          <t>Öne Çıkarma - Doruk Hastaneleri</t>
        </is>
      </c>
      <c r="G209" s="84" t="n">
        <v>2973.97</v>
      </c>
      <c r="H209" s="47" t="inlineStr">
        <is>
          <t>Instagram profili ziyaretleri</t>
        </is>
      </c>
      <c r="I209" s="50" t="n">
        <v>761</v>
      </c>
      <c r="J209" s="50" t="n">
        <v>38530</v>
      </c>
      <c r="K209" s="50" t="n">
        <v>41678</v>
      </c>
    </row>
    <row r="210">
      <c r="A210" s="43" t="inlineStr">
        <is>
          <t>Doruk Hastaneleri</t>
        </is>
      </c>
      <c r="B210" s="43" t="inlineStr">
        <is>
          <t>Instagram gönderisi: Bir sezon boyunca ortaya...</t>
        </is>
      </c>
      <c r="C210" s="46" t="inlineStr">
        <is>
          <t>2026-06-29</t>
        </is>
      </c>
      <c r="D210" s="43" t="inlineStr">
        <is>
          <t>Hastane (Kurumsal)</t>
        </is>
      </c>
      <c r="E210" s="43" t="inlineStr">
        <is>
          <t>Instagram Öne Çıkarma</t>
        </is>
      </c>
      <c r="F210" s="43" t="inlineStr">
        <is>
          <t>Öne Çıkarma - Doruk Hastaneleri</t>
        </is>
      </c>
      <c r="G210" s="83" t="n">
        <v>2896.72</v>
      </c>
      <c r="H210" s="43" t="inlineStr">
        <is>
          <t>Instagram profili ziyaretleri</t>
        </is>
      </c>
      <c r="I210" s="46" t="n">
        <v>529</v>
      </c>
      <c r="J210" s="46" t="n">
        <v>36360</v>
      </c>
      <c r="K210" s="46" t="n">
        <v>39496</v>
      </c>
    </row>
    <row r="211">
      <c r="A211" s="47" t="inlineStr">
        <is>
          <t>Doruk Hastaneleri</t>
        </is>
      </c>
      <c r="B211" s="47" t="inlineStr">
        <is>
          <t>Instagram gönderisi: Doruk Sağlık Grubu olarak,...</t>
        </is>
      </c>
      <c r="C211" s="50" t="inlineStr">
        <is>
          <t>2026-07-17</t>
        </is>
      </c>
      <c r="D211" s="47" t="inlineStr">
        <is>
          <t>Hastane (Kurumsal)</t>
        </is>
      </c>
      <c r="E211" s="47" t="inlineStr">
        <is>
          <t>Instagram Öne Çıkarma</t>
        </is>
      </c>
      <c r="F211" s="47" t="inlineStr">
        <is>
          <t>Öne Çıkarma - Doruk Hastaneleri</t>
        </is>
      </c>
      <c r="G211" s="84" t="n">
        <v>2810.28</v>
      </c>
      <c r="H211" s="47" t="inlineStr">
        <is>
          <t>Instagram profili ziyaretleri</t>
        </is>
      </c>
      <c r="I211" s="50" t="n">
        <v>622</v>
      </c>
      <c r="J211" s="50" t="n">
        <v>29556</v>
      </c>
      <c r="K211" s="50" t="n">
        <v>31497</v>
      </c>
    </row>
    <row r="212">
      <c r="A212" s="43" t="inlineStr">
        <is>
          <t>Doruk Hastaneleri</t>
        </is>
      </c>
      <c r="B212" s="43" t="inlineStr">
        <is>
          <t>Instagram gönderisi: Doruk Sağlık Grubu olarak,...</t>
        </is>
      </c>
      <c r="C212" s="46" t="inlineStr">
        <is>
          <t>2026-07-02</t>
        </is>
      </c>
      <c r="D212" s="43" t="inlineStr">
        <is>
          <t>Hastane (Kurumsal)</t>
        </is>
      </c>
      <c r="E212" s="43" t="inlineStr">
        <is>
          <t>Instagram Öne Çıkarma</t>
        </is>
      </c>
      <c r="F212" s="43" t="inlineStr">
        <is>
          <t>Öne Çıkarma - Doruk Hastaneleri</t>
        </is>
      </c>
      <c r="G212" s="83" t="n">
        <v>2750.84</v>
      </c>
      <c r="H212" s="43" t="inlineStr">
        <is>
          <t>Instagram profili ziyaretleri</t>
        </is>
      </c>
      <c r="I212" s="46" t="n">
        <v>893</v>
      </c>
      <c r="J212" s="46" t="n">
        <v>33252</v>
      </c>
      <c r="K212" s="46" t="n">
        <v>37205</v>
      </c>
    </row>
    <row r="213">
      <c r="A213" s="47" t="inlineStr">
        <is>
          <t>Doruk Hastaneleri</t>
        </is>
      </c>
      <c r="B213" s="47" t="inlineStr">
        <is>
          <t>Instagram gönderisi: Doruk Sağlık Grubu olarak,...</t>
        </is>
      </c>
      <c r="C213" s="50" t="inlineStr">
        <is>
          <t>2026-07-03</t>
        </is>
      </c>
      <c r="D213" s="47" t="inlineStr">
        <is>
          <t>Hastane (Kurumsal)</t>
        </is>
      </c>
      <c r="E213" s="47" t="inlineStr">
        <is>
          <t>Instagram Öne Çıkarma</t>
        </is>
      </c>
      <c r="F213" s="47" t="inlineStr">
        <is>
          <t>Öne Çıkarma - Doruk Hastaneleri</t>
        </is>
      </c>
      <c r="G213" s="84" t="n">
        <v>2736.43</v>
      </c>
      <c r="H213" s="47" t="inlineStr">
        <is>
          <t>Instagram profili ziyaretleri</t>
        </is>
      </c>
      <c r="I213" s="50" t="n">
        <v>878</v>
      </c>
      <c r="J213" s="50" t="n">
        <v>29635</v>
      </c>
      <c r="K213" s="50" t="n">
        <v>32102</v>
      </c>
    </row>
    <row r="214">
      <c r="A214" s="43" t="inlineStr">
        <is>
          <t>Doruk Hastaneleri</t>
        </is>
      </c>
      <c r="B214" s="43" t="inlineStr">
        <is>
          <t>Instagram gönderisi: Doruk Sağlık Grubu olarak,...</t>
        </is>
      </c>
      <c r="C214" s="46" t="inlineStr">
        <is>
          <t>2026-07-13</t>
        </is>
      </c>
      <c r="D214" s="43" t="inlineStr">
        <is>
          <t>Hastane (Kurumsal)</t>
        </is>
      </c>
      <c r="E214" s="43" t="inlineStr">
        <is>
          <t>Instagram Öne Çıkarma</t>
        </is>
      </c>
      <c r="F214" s="43" t="inlineStr">
        <is>
          <t>Öne Çıkarma - Doruk Hastaneleri</t>
        </is>
      </c>
      <c r="G214" s="83" t="n">
        <v>2663.78</v>
      </c>
      <c r="H214" s="43" t="inlineStr">
        <is>
          <t>Instagram profili ziyaretleri</t>
        </is>
      </c>
      <c r="I214" s="46" t="n">
        <v>643</v>
      </c>
      <c r="J214" s="46" t="n">
        <v>31356</v>
      </c>
      <c r="K214" s="46" t="n">
        <v>34389</v>
      </c>
    </row>
    <row r="215">
      <c r="A215" s="47" t="inlineStr">
        <is>
          <t>Doruk Hastaneleri</t>
        </is>
      </c>
      <c r="B215" s="47" t="inlineStr">
        <is>
          <t>Instagram gönderisi: Bir sezon boyunca ortaya...</t>
        </is>
      </c>
      <c r="C215" s="50" t="inlineStr">
        <is>
          <t>2026-06-24</t>
        </is>
      </c>
      <c r="D215" s="47" t="inlineStr">
        <is>
          <t>Hastane (Kurumsal)</t>
        </is>
      </c>
      <c r="E215" s="47" t="inlineStr">
        <is>
          <t>Instagram Öne Çıkarma</t>
        </is>
      </c>
      <c r="F215" s="47" t="inlineStr">
        <is>
          <t>Öne Çıkarma - Doruk Hastaneleri</t>
        </is>
      </c>
      <c r="G215" s="84" t="n">
        <v>2455.02</v>
      </c>
      <c r="H215" s="47" t="inlineStr">
        <is>
          <t>Instagram profili ziyaretleri</t>
        </is>
      </c>
      <c r="I215" s="50" t="n">
        <v>420</v>
      </c>
      <c r="J215" s="50" t="n">
        <v>30396</v>
      </c>
      <c r="K215" s="50" t="n">
        <v>33441</v>
      </c>
    </row>
    <row r="216">
      <c r="A216" s="43" t="inlineStr">
        <is>
          <t>Doruk Hastaneleri</t>
        </is>
      </c>
      <c r="B216" s="43" t="inlineStr">
        <is>
          <t>Instagram gönderisi: Doruk Sağlık Grubu olarak,...</t>
        </is>
      </c>
      <c r="C216" s="46" t="inlineStr">
        <is>
          <t>2026-07-20</t>
        </is>
      </c>
      <c r="D216" s="43" t="inlineStr">
        <is>
          <t>Hastane (Kurumsal)</t>
        </is>
      </c>
      <c r="E216" s="43" t="inlineStr">
        <is>
          <t>Instagram Öne Çıkarma</t>
        </is>
      </c>
      <c r="F216" s="43" t="inlineStr">
        <is>
          <t>Öne Çıkarma - Doruk Hastaneleri</t>
        </is>
      </c>
      <c r="G216" s="83" t="n">
        <v>2374.15</v>
      </c>
      <c r="H216" s="43" t="inlineStr">
        <is>
          <t>Instagram profili ziyaretleri</t>
        </is>
      </c>
      <c r="I216" s="46" t="n">
        <v>488</v>
      </c>
      <c r="J216" s="46" t="n">
        <v>35866</v>
      </c>
      <c r="K216" s="46" t="n">
        <v>38852</v>
      </c>
    </row>
    <row r="217">
      <c r="A217" s="47" t="inlineStr">
        <is>
          <t>Doruk Hastaneleri</t>
        </is>
      </c>
      <c r="B217" s="47" t="inlineStr">
        <is>
          <t>Instagram gönderisi: Bir sezon boyunca ortaya...</t>
        </is>
      </c>
      <c r="C217" s="50" t="inlineStr">
        <is>
          <t>2026-07-05</t>
        </is>
      </c>
      <c r="D217" s="47" t="inlineStr">
        <is>
          <t>Hastane (Kurumsal)</t>
        </is>
      </c>
      <c r="E217" s="47" t="inlineStr">
        <is>
          <t>Instagram Öne Çıkarma</t>
        </is>
      </c>
      <c r="F217" s="47" t="inlineStr">
        <is>
          <t>Öne Çıkarma - Doruk Hastaneleri</t>
        </is>
      </c>
      <c r="G217" s="84" t="n">
        <v>2298.04</v>
      </c>
      <c r="H217" s="47" t="inlineStr">
        <is>
          <t>Instagram profili ziyaretleri</t>
        </is>
      </c>
      <c r="I217" s="50" t="n">
        <v>531</v>
      </c>
      <c r="J217" s="50" t="n">
        <v>37519</v>
      </c>
      <c r="K217" s="50" t="n">
        <v>40336</v>
      </c>
    </row>
    <row r="218">
      <c r="A218" s="43" t="inlineStr">
        <is>
          <t>Doruk Hastaneleri</t>
        </is>
      </c>
      <c r="B218" s="43" t="inlineStr">
        <is>
          <t>Instagram gönderisi: Doruk Sağlık Grubu olarak,...</t>
        </is>
      </c>
      <c r="C218" s="46" t="inlineStr">
        <is>
          <t>2026-07-09</t>
        </is>
      </c>
      <c r="D218" s="43" t="inlineStr">
        <is>
          <t>Hastane (Kurumsal)</t>
        </is>
      </c>
      <c r="E218" s="43" t="inlineStr">
        <is>
          <t>Instagram Öne Çıkarma</t>
        </is>
      </c>
      <c r="F218" s="43" t="inlineStr">
        <is>
          <t>Öne Çıkarma - Doruk Hastaneleri</t>
        </is>
      </c>
      <c r="G218" s="83" t="n">
        <v>2263.35</v>
      </c>
      <c r="H218" s="43" t="inlineStr">
        <is>
          <t>Instagram profili ziyaretleri</t>
        </is>
      </c>
      <c r="I218" s="46" t="n">
        <v>582</v>
      </c>
      <c r="J218" s="46" t="n">
        <v>33846</v>
      </c>
      <c r="K218" s="46" t="n">
        <v>36508</v>
      </c>
    </row>
    <row r="219">
      <c r="A219" s="47" t="inlineStr">
        <is>
          <t>Doruk Hastaneleri</t>
        </is>
      </c>
      <c r="B219" s="47" t="inlineStr">
        <is>
          <t>Instagram gönderisi: Doruk Sağlık Grubu olarak,...</t>
        </is>
      </c>
      <c r="C219" s="50" t="inlineStr">
        <is>
          <t>2026-07-01</t>
        </is>
      </c>
      <c r="D219" s="47" t="inlineStr">
        <is>
          <t>Hastane (Kurumsal)</t>
        </is>
      </c>
      <c r="E219" s="47" t="inlineStr">
        <is>
          <t>Instagram Öne Çıkarma</t>
        </is>
      </c>
      <c r="F219" s="47" t="inlineStr">
        <is>
          <t>Öne Çıkarma - Doruk Hastaneleri</t>
        </is>
      </c>
      <c r="G219" s="84" t="n">
        <v>2220.32</v>
      </c>
      <c r="H219" s="47" t="inlineStr">
        <is>
          <t>Instagram profili ziyaretleri</t>
        </is>
      </c>
      <c r="I219" s="50" t="n">
        <v>446</v>
      </c>
      <c r="J219" s="50" t="n">
        <v>23466</v>
      </c>
      <c r="K219" s="50" t="n">
        <v>27651</v>
      </c>
    </row>
    <row r="220">
      <c r="A220" s="43" t="inlineStr">
        <is>
          <t>Doruk Hastaneleri</t>
        </is>
      </c>
      <c r="B220" s="43" t="inlineStr">
        <is>
          <t>Instagram gönderisi: Bir sezon boyunca ortaya...</t>
        </is>
      </c>
      <c r="C220" s="46" t="inlineStr">
        <is>
          <t>2026-07-22</t>
        </is>
      </c>
      <c r="D220" s="43" t="inlineStr">
        <is>
          <t>Hastane (Kurumsal)</t>
        </is>
      </c>
      <c r="E220" s="43" t="inlineStr">
        <is>
          <t>Instagram Öne Çıkarma</t>
        </is>
      </c>
      <c r="F220" s="43" t="inlineStr">
        <is>
          <t>Öne Çıkarma - Doruk Hastaneleri</t>
        </is>
      </c>
      <c r="G220" s="83" t="n">
        <v>2148.93</v>
      </c>
      <c r="H220" s="43" t="inlineStr">
        <is>
          <t>Instagram profili ziyaretleri</t>
        </is>
      </c>
      <c r="I220" s="46" t="n">
        <v>401</v>
      </c>
      <c r="J220" s="46" t="n">
        <v>37779</v>
      </c>
      <c r="K220" s="46" t="n">
        <v>41813</v>
      </c>
    </row>
    <row r="221">
      <c r="A221" s="47" t="inlineStr">
        <is>
          <t>Doruk Hastaneleri</t>
        </is>
      </c>
      <c r="B221" s="47" t="inlineStr">
        <is>
          <t>Instagram gönderisi: Doruk Sağlık Grubu olarak,...</t>
        </is>
      </c>
      <c r="C221" s="50" t="inlineStr">
        <is>
          <t>2026-07-22</t>
        </is>
      </c>
      <c r="D221" s="47" t="inlineStr">
        <is>
          <t>Hastane (Kurumsal)</t>
        </is>
      </c>
      <c r="E221" s="47" t="inlineStr">
        <is>
          <t>Instagram Öne Çıkarma</t>
        </is>
      </c>
      <c r="F221" s="47" t="inlineStr">
        <is>
          <t>Öne Çıkarma - Doruk Hastaneleri</t>
        </is>
      </c>
      <c r="G221" s="84" t="n">
        <v>1997.1</v>
      </c>
      <c r="H221" s="47" t="inlineStr">
        <is>
          <t>Instagram profili ziyaretleri</t>
        </is>
      </c>
      <c r="I221" s="50" t="n">
        <v>386</v>
      </c>
      <c r="J221" s="50" t="n">
        <v>32115</v>
      </c>
      <c r="K221" s="50" t="n">
        <v>34497</v>
      </c>
    </row>
    <row r="222">
      <c r="A222" s="43" t="inlineStr">
        <is>
          <t>Doruk Hastaneleri</t>
        </is>
      </c>
      <c r="B222" s="43" t="inlineStr">
        <is>
          <t>Instagram gönderisi: Doruk Sağlık Grubu olarak,...</t>
        </is>
      </c>
      <c r="C222" s="46" t="inlineStr">
        <is>
          <t>2026-07-05</t>
        </is>
      </c>
      <c r="D222" s="43" t="inlineStr">
        <is>
          <t>Hastane (Kurumsal)</t>
        </is>
      </c>
      <c r="E222" s="43" t="inlineStr">
        <is>
          <t>Instagram Öne Çıkarma</t>
        </is>
      </c>
      <c r="F222" s="43" t="inlineStr">
        <is>
          <t>Öne Çıkarma - Doruk Hastaneleri</t>
        </is>
      </c>
      <c r="G222" s="83" t="n">
        <v>1676.78</v>
      </c>
      <c r="H222" s="43" t="inlineStr">
        <is>
          <t>Instagram profili ziyaretleri</t>
        </is>
      </c>
      <c r="I222" s="46" t="n">
        <v>495</v>
      </c>
      <c r="J222" s="46" t="n">
        <v>21708</v>
      </c>
      <c r="K222" s="46" t="n">
        <v>23225</v>
      </c>
    </row>
    <row r="223">
      <c r="A223" s="47" t="inlineStr">
        <is>
          <t>Doruk Hastaneleri</t>
        </is>
      </c>
      <c r="B223" s="47" t="inlineStr">
        <is>
          <t>Instagram gönderisi: Prostat cerrahisinde gelişen...</t>
        </is>
      </c>
      <c r="C223" s="50" t="inlineStr">
        <is>
          <t>2026-06-26</t>
        </is>
      </c>
      <c r="D223" s="47" t="inlineStr">
        <is>
          <t>Hastane (Kurumsal)</t>
        </is>
      </c>
      <c r="E223" s="47" t="inlineStr">
        <is>
          <t>Instagram Öne Çıkarma</t>
        </is>
      </c>
      <c r="F223" s="47" t="inlineStr">
        <is>
          <t>Öne Çıkarma - Doruk Hastaneleri</t>
        </is>
      </c>
      <c r="G223" s="84" t="n">
        <v>1267.72</v>
      </c>
      <c r="H223" s="47" t="inlineStr">
        <is>
          <t>Instagram profili ziyaretleri</t>
        </is>
      </c>
      <c r="I223" s="50" t="n">
        <v>170</v>
      </c>
      <c r="J223" s="50" t="n">
        <v>14579</v>
      </c>
      <c r="K223" s="50" t="n">
        <v>15281</v>
      </c>
    </row>
    <row r="224">
      <c r="A224" s="43" t="inlineStr">
        <is>
          <t>Doruk Hastaneleri</t>
        </is>
      </c>
      <c r="B224" s="43" t="inlineStr">
        <is>
          <t>Instagram gönderisi: Fetal gelişim kısıtlılığı,...</t>
        </is>
      </c>
      <c r="C224" s="46" t="inlineStr">
        <is>
          <t>2026-06-26</t>
        </is>
      </c>
      <c r="D224" s="43" t="inlineStr">
        <is>
          <t>Hastane (Kurumsal)</t>
        </is>
      </c>
      <c r="E224" s="43" t="inlineStr">
        <is>
          <t>Instagram Öne Çıkarma</t>
        </is>
      </c>
      <c r="F224" s="43" t="inlineStr">
        <is>
          <t>Öne Çıkarma - Doruk Hastaneleri</t>
        </is>
      </c>
      <c r="G224" s="83" t="n">
        <v>1264.45</v>
      </c>
      <c r="H224" s="43" t="inlineStr">
        <is>
          <t>Instagram profili ziyaretleri</t>
        </is>
      </c>
      <c r="I224" s="46" t="n">
        <v>163</v>
      </c>
      <c r="J224" s="46" t="n">
        <v>13516</v>
      </c>
      <c r="K224" s="46" t="n">
        <v>13975</v>
      </c>
    </row>
    <row r="225">
      <c r="A225" s="47" t="inlineStr">
        <is>
          <t>Doruk Hastaneleri</t>
        </is>
      </c>
      <c r="B225" s="47" t="inlineStr">
        <is>
          <t>Instagram gönderisi: Bir sezon boyunca ortaya...</t>
        </is>
      </c>
      <c r="C225" s="50" t="inlineStr">
        <is>
          <t>2026-07-11</t>
        </is>
      </c>
      <c r="D225" s="47" t="inlineStr">
        <is>
          <t>Hastane (Kurumsal)</t>
        </is>
      </c>
      <c r="E225" s="47" t="inlineStr">
        <is>
          <t>Instagram Öne Çıkarma</t>
        </is>
      </c>
      <c r="F225" s="47" t="inlineStr">
        <is>
          <t>Öne Çıkarma - Doruk Hastaneleri</t>
        </is>
      </c>
      <c r="G225" s="84" t="n">
        <v>1178.48</v>
      </c>
      <c r="H225" s="47" t="inlineStr">
        <is>
          <t>Instagram profili ziyaretleri</t>
        </is>
      </c>
      <c r="I225" s="50" t="n">
        <v>297</v>
      </c>
      <c r="J225" s="50" t="n">
        <v>21085</v>
      </c>
      <c r="K225" s="50" t="n">
        <v>21685</v>
      </c>
    </row>
    <row r="226">
      <c r="A226" s="43" t="inlineStr">
        <is>
          <t>Doruk Hastaneleri</t>
        </is>
      </c>
      <c r="B226" s="43" t="inlineStr">
        <is>
          <t>Instagram gönderisi: Bir sezon boyunca ortaya...</t>
        </is>
      </c>
      <c r="C226" s="46" t="inlineStr">
        <is>
          <t>2026-07-21</t>
        </is>
      </c>
      <c r="D226" s="43" t="inlineStr">
        <is>
          <t>Hastane (Kurumsal)</t>
        </is>
      </c>
      <c r="E226" s="43" t="inlineStr">
        <is>
          <t>Instagram Öne Çıkarma</t>
        </is>
      </c>
      <c r="F226" s="43" t="inlineStr">
        <is>
          <t>Öne Çıkarma - Doruk Hastaneleri</t>
        </is>
      </c>
      <c r="G226" s="83" t="n">
        <v>1149.79</v>
      </c>
      <c r="H226" s="43" t="inlineStr">
        <is>
          <t>Instagram profili ziyaretleri</t>
        </is>
      </c>
      <c r="I226" s="46" t="n">
        <v>261</v>
      </c>
      <c r="J226" s="46" t="n">
        <v>23149</v>
      </c>
      <c r="K226" s="46" t="n">
        <v>24954</v>
      </c>
    </row>
    <row r="227">
      <c r="A227" s="47" t="inlineStr">
        <is>
          <t>Doruk Hastaneleri</t>
        </is>
      </c>
      <c r="B227" s="47" t="inlineStr">
        <is>
          <t>Instagram gönderisi: Meme kanseri, kadınlarda en...</t>
        </is>
      </c>
      <c r="C227" s="50" t="inlineStr">
        <is>
          <t>2026-07-04</t>
        </is>
      </c>
      <c r="D227" s="47" t="inlineStr">
        <is>
          <t>Hastane (Kurumsal)</t>
        </is>
      </c>
      <c r="E227" s="47" t="inlineStr">
        <is>
          <t>Instagram Öne Çıkarma</t>
        </is>
      </c>
      <c r="F227" s="47" t="inlineStr">
        <is>
          <t>Öne Çıkarma - Doruk Hastaneleri</t>
        </is>
      </c>
      <c r="G227" s="84" t="n">
        <v>1079.97</v>
      </c>
      <c r="H227" s="47" t="inlineStr">
        <is>
          <t>Instagram profili ziyaretleri</t>
        </is>
      </c>
      <c r="I227" s="50" t="n">
        <v>173</v>
      </c>
      <c r="J227" s="50" t="n">
        <v>11926</v>
      </c>
      <c r="K227" s="50" t="n">
        <v>12584</v>
      </c>
    </row>
    <row r="228">
      <c r="A228" s="43" t="inlineStr">
        <is>
          <t>Doruk Hastaneleri</t>
        </is>
      </c>
      <c r="B228" s="43" t="inlineStr">
        <is>
          <t>Instagram gönderisi: Doruk Bülten’in yeni sayısı...</t>
        </is>
      </c>
      <c r="C228" s="46" t="inlineStr">
        <is>
          <t>2026-07-04</t>
        </is>
      </c>
      <c r="D228" s="43" t="inlineStr">
        <is>
          <t>Hastane (Kurumsal)</t>
        </is>
      </c>
      <c r="E228" s="43" t="inlineStr">
        <is>
          <t>Instagram Öne Çıkarma</t>
        </is>
      </c>
      <c r="F228" s="43" t="inlineStr">
        <is>
          <t>Öne Çıkarma - Doruk Hastaneleri</t>
        </is>
      </c>
      <c r="G228" s="83" t="n">
        <v>1046.22</v>
      </c>
      <c r="H228" s="43" t="inlineStr">
        <is>
          <t>Instagram profili ziyaretleri</t>
        </is>
      </c>
      <c r="I228" s="46" t="n">
        <v>116</v>
      </c>
      <c r="J228" s="46" t="n">
        <v>5807</v>
      </c>
      <c r="K228" s="46" t="n">
        <v>6308</v>
      </c>
    </row>
    <row r="229">
      <c r="A229" s="47" t="inlineStr">
        <is>
          <t>Doruk Hastaneleri</t>
        </is>
      </c>
      <c r="B229" s="47" t="inlineStr">
        <is>
          <t>Instagram gönderisi: Doruk Bülten’in yeni sayısı...</t>
        </is>
      </c>
      <c r="C229" s="50" t="inlineStr">
        <is>
          <t>2026-07-04</t>
        </is>
      </c>
      <c r="D229" s="47" t="inlineStr">
        <is>
          <t>Hastane (Kurumsal)</t>
        </is>
      </c>
      <c r="E229" s="47" t="inlineStr">
        <is>
          <t>Instagram Öne Çıkarma</t>
        </is>
      </c>
      <c r="F229" s="47" t="inlineStr">
        <is>
          <t>Öne Çıkarma - Doruk Hastaneleri</t>
        </is>
      </c>
      <c r="G229" s="84" t="n">
        <v>1045.75</v>
      </c>
      <c r="H229" s="47" t="inlineStr">
        <is>
          <t>Instagram profili ziyaretleri</t>
        </is>
      </c>
      <c r="I229" s="50" t="n">
        <v>268</v>
      </c>
      <c r="J229" s="50" t="n">
        <v>7461</v>
      </c>
      <c r="K229" s="50" t="n">
        <v>8504</v>
      </c>
    </row>
    <row r="230">
      <c r="A230" s="43" t="inlineStr">
        <is>
          <t>Doruk Hastaneleri</t>
        </is>
      </c>
      <c r="B230" s="43" t="inlineStr">
        <is>
          <t>Instagram gönderisi: Doğum şekli, gebelik...</t>
        </is>
      </c>
      <c r="C230" s="46" t="inlineStr">
        <is>
          <t>2026-07-01</t>
        </is>
      </c>
      <c r="D230" s="43" t="inlineStr">
        <is>
          <t>Hastane (Kurumsal)</t>
        </is>
      </c>
      <c r="E230" s="43" t="inlineStr">
        <is>
          <t>Instagram Öne Çıkarma</t>
        </is>
      </c>
      <c r="F230" s="43" t="inlineStr">
        <is>
          <t>Öne Çıkarma - Doruk Hastaneleri</t>
        </is>
      </c>
      <c r="G230" s="83" t="n">
        <v>1043.96</v>
      </c>
      <c r="H230" s="43" t="inlineStr">
        <is>
          <t>Instagram profili ziyaretleri</t>
        </is>
      </c>
      <c r="I230" s="46" t="n">
        <v>369</v>
      </c>
      <c r="J230" s="46" t="n">
        <v>9262</v>
      </c>
      <c r="K230" s="46" t="n">
        <v>11204</v>
      </c>
    </row>
    <row r="231">
      <c r="A231" s="47" t="inlineStr">
        <is>
          <t>Doruk Hastaneleri</t>
        </is>
      </c>
      <c r="B231" s="47" t="inlineStr">
        <is>
          <t>Instagram gönderisi: Doğum şekli, gebelik...</t>
        </is>
      </c>
      <c r="C231" s="50" t="inlineStr">
        <is>
          <t>2026-07-04</t>
        </is>
      </c>
      <c r="D231" s="47" t="inlineStr">
        <is>
          <t>Hastane (Kurumsal)</t>
        </is>
      </c>
      <c r="E231" s="47" t="inlineStr">
        <is>
          <t>Instagram Öne Çıkarma</t>
        </is>
      </c>
      <c r="F231" s="47" t="inlineStr">
        <is>
          <t>Öne Çıkarma - Doruk Hastaneleri</t>
        </is>
      </c>
      <c r="G231" s="84" t="n">
        <v>1040.02</v>
      </c>
      <c r="H231" s="47" t="inlineStr">
        <is>
          <t>Instagram profili ziyaretleri</t>
        </is>
      </c>
      <c r="I231" s="50" t="n">
        <v>245</v>
      </c>
      <c r="J231" s="50" t="n">
        <v>8453</v>
      </c>
      <c r="K231" s="50" t="n">
        <v>8897</v>
      </c>
    </row>
    <row r="232">
      <c r="A232" s="43" t="inlineStr">
        <is>
          <t>Doruk Hastaneleri</t>
        </is>
      </c>
      <c r="B232" s="43" t="inlineStr">
        <is>
          <t>Instagram gönderisi: Böbrek taşı tedavisinde...</t>
        </is>
      </c>
      <c r="C232" s="46" t="inlineStr">
        <is>
          <t>2026-07-04</t>
        </is>
      </c>
      <c r="D232" s="43" t="inlineStr">
        <is>
          <t>Hastane (Kurumsal)</t>
        </is>
      </c>
      <c r="E232" s="43" t="inlineStr">
        <is>
          <t>Instagram Öne Çıkarma</t>
        </is>
      </c>
      <c r="F232" s="43" t="inlineStr">
        <is>
          <t>Öne Çıkarma - Doruk Hastaneleri</t>
        </is>
      </c>
      <c r="G232" s="83" t="n">
        <v>1017.89</v>
      </c>
      <c r="H232" s="43" t="inlineStr">
        <is>
          <t>Instagram profili ziyaretleri</t>
        </is>
      </c>
      <c r="I232" s="46" t="n">
        <v>143</v>
      </c>
      <c r="J232" s="46" t="n">
        <v>10227</v>
      </c>
      <c r="K232" s="46" t="n">
        <v>11177</v>
      </c>
    </row>
    <row r="233">
      <c r="A233" s="47" t="inlineStr">
        <is>
          <t>Doruk Hastaneleri</t>
        </is>
      </c>
      <c r="B233" s="47" t="inlineStr">
        <is>
          <t>Instagram gönderisi: Prostat cerrahisinde gelişen...</t>
        </is>
      </c>
      <c r="C233" s="50" t="inlineStr">
        <is>
          <t>2026-06-23</t>
        </is>
      </c>
      <c r="D233" s="47" t="inlineStr">
        <is>
          <t>Hastane (Kurumsal)</t>
        </is>
      </c>
      <c r="E233" s="47" t="inlineStr">
        <is>
          <t>Instagram Öne Çıkarma</t>
        </is>
      </c>
      <c r="F233" s="47" t="inlineStr">
        <is>
          <t>Öne Çıkarma - Doruk Hastaneleri</t>
        </is>
      </c>
      <c r="G233" s="84" t="n">
        <v>1012.76</v>
      </c>
      <c r="H233" s="47" t="inlineStr">
        <is>
          <t>Instagram profili ziyaretleri</t>
        </is>
      </c>
      <c r="I233" s="50" t="n">
        <v>167</v>
      </c>
      <c r="J233" s="50" t="n">
        <v>9736</v>
      </c>
      <c r="K233" s="50" t="n">
        <v>10572</v>
      </c>
    </row>
    <row r="234">
      <c r="A234" s="43" t="inlineStr">
        <is>
          <t>Doruk Hastaneleri</t>
        </is>
      </c>
      <c r="B234" s="43" t="inlineStr">
        <is>
          <t>Instagram gönderisi: Doğum şekli, gebelik...</t>
        </is>
      </c>
      <c r="C234" s="46" t="inlineStr">
        <is>
          <t>2026-07-03</t>
        </is>
      </c>
      <c r="D234" s="43" t="inlineStr">
        <is>
          <t>Hastane (Kurumsal)</t>
        </is>
      </c>
      <c r="E234" s="43" t="inlineStr">
        <is>
          <t>Instagram Öne Çıkarma</t>
        </is>
      </c>
      <c r="F234" s="43" t="inlineStr">
        <is>
          <t>Öne Çıkarma - Doruk Hastaneleri</t>
        </is>
      </c>
      <c r="G234" s="83" t="n">
        <v>997.11</v>
      </c>
      <c r="H234" s="43" t="inlineStr">
        <is>
          <t>Instagram profili ziyaretleri</t>
        </is>
      </c>
      <c r="I234" s="46" t="n">
        <v>296</v>
      </c>
      <c r="J234" s="46" t="n">
        <v>9518</v>
      </c>
      <c r="K234" s="46" t="n">
        <v>10814</v>
      </c>
    </row>
    <row r="235">
      <c r="A235" s="47" t="inlineStr">
        <is>
          <t>Doruk Hastaneleri</t>
        </is>
      </c>
      <c r="B235" s="47" t="inlineStr">
        <is>
          <t>Instagram gönderisi: Doruk Bülten’in yeni sayısı...</t>
        </is>
      </c>
      <c r="C235" s="50" t="inlineStr">
        <is>
          <t>2026-07-01</t>
        </is>
      </c>
      <c r="D235" s="47" t="inlineStr">
        <is>
          <t>Hastane (Kurumsal)</t>
        </is>
      </c>
      <c r="E235" s="47" t="inlineStr">
        <is>
          <t>Instagram Öne Çıkarma</t>
        </is>
      </c>
      <c r="F235" s="47" t="inlineStr">
        <is>
          <t>Öne Çıkarma - Doruk Hastaneleri</t>
        </is>
      </c>
      <c r="G235" s="84" t="n">
        <v>995.25</v>
      </c>
      <c r="H235" s="47" t="inlineStr">
        <is>
          <t>Instagram profili ziyaretleri</t>
        </is>
      </c>
      <c r="I235" s="50" t="n">
        <v>287</v>
      </c>
      <c r="J235" s="50" t="n">
        <v>6313</v>
      </c>
      <c r="K235" s="50" t="n">
        <v>7489</v>
      </c>
    </row>
    <row r="236">
      <c r="A236" s="43" t="inlineStr">
        <is>
          <t>Doruk Hastaneleri</t>
        </is>
      </c>
      <c r="B236" s="43" t="inlineStr">
        <is>
          <t>Instagram gönderisi: Meme kanseri, kadınlarda en...</t>
        </is>
      </c>
      <c r="C236" s="46" t="inlineStr">
        <is>
          <t>2026-07-01</t>
        </is>
      </c>
      <c r="D236" s="43" t="inlineStr">
        <is>
          <t>Hastane (Kurumsal)</t>
        </is>
      </c>
      <c r="E236" s="43" t="inlineStr">
        <is>
          <t>Instagram Öne Çıkarma</t>
        </is>
      </c>
      <c r="F236" s="43" t="inlineStr">
        <is>
          <t>Öne Çıkarma - Doruk Hastaneleri</t>
        </is>
      </c>
      <c r="G236" s="83" t="n">
        <v>992.01</v>
      </c>
      <c r="H236" s="43" t="inlineStr">
        <is>
          <t>Instagram profili ziyaretleri</t>
        </is>
      </c>
      <c r="I236" s="46" t="n">
        <v>188</v>
      </c>
      <c r="J236" s="46" t="n">
        <v>7790</v>
      </c>
      <c r="K236" s="46" t="n">
        <v>8667</v>
      </c>
    </row>
    <row r="237">
      <c r="A237" s="47" t="inlineStr">
        <is>
          <t>Doruk Hastaneleri</t>
        </is>
      </c>
      <c r="B237" s="47" t="inlineStr">
        <is>
          <t>Instagram gönderisi: Fetal gelişim kısıtlılığı,...</t>
        </is>
      </c>
      <c r="C237" s="50" t="inlineStr">
        <is>
          <t>2026-06-23</t>
        </is>
      </c>
      <c r="D237" s="47" t="inlineStr">
        <is>
          <t>Hastane (Kurumsal)</t>
        </is>
      </c>
      <c r="E237" s="47" t="inlineStr">
        <is>
          <t>Instagram Öne Çıkarma</t>
        </is>
      </c>
      <c r="F237" s="47" t="inlineStr">
        <is>
          <t>Öne Çıkarma - Doruk Hastaneleri</t>
        </is>
      </c>
      <c r="G237" s="84" t="n">
        <v>980.77</v>
      </c>
      <c r="H237" s="47" t="inlineStr">
        <is>
          <t>Instagram profili ziyaretleri</t>
        </is>
      </c>
      <c r="I237" s="50" t="n">
        <v>135</v>
      </c>
      <c r="J237" s="50" t="n">
        <v>9354</v>
      </c>
      <c r="K237" s="50" t="n">
        <v>10176</v>
      </c>
    </row>
    <row r="238">
      <c r="A238" s="43" t="inlineStr">
        <is>
          <t>Doruk Hastaneleri</t>
        </is>
      </c>
      <c r="B238" s="43" t="inlineStr">
        <is>
          <t>Instagram gönderisi: Doğum şekli, gebelik...</t>
        </is>
      </c>
      <c r="C238" s="46" t="inlineStr">
        <is>
          <t>2026-07-02</t>
        </is>
      </c>
      <c r="D238" s="43" t="inlineStr">
        <is>
          <t>Hastane (Kurumsal)</t>
        </is>
      </c>
      <c r="E238" s="43" t="inlineStr">
        <is>
          <t>Instagram Öne Çıkarma</t>
        </is>
      </c>
      <c r="F238" s="43" t="inlineStr">
        <is>
          <t>Öne Çıkarma - Doruk Hastaneleri</t>
        </is>
      </c>
      <c r="G238" s="83" t="n">
        <v>964.03</v>
      </c>
      <c r="H238" s="43" t="inlineStr">
        <is>
          <t>Instagram profili ziyaretleri</t>
        </is>
      </c>
      <c r="I238" s="46" t="n">
        <v>277</v>
      </c>
      <c r="J238" s="46" t="n">
        <v>8366</v>
      </c>
      <c r="K238" s="46" t="n">
        <v>9488</v>
      </c>
    </row>
    <row r="239">
      <c r="A239" s="47" t="inlineStr">
        <is>
          <t>Doruk Hastaneleri</t>
        </is>
      </c>
      <c r="B239" s="47" t="inlineStr">
        <is>
          <t>Instagram gönderisi: Meme kanseri, kadınlarda en...</t>
        </is>
      </c>
      <c r="C239" s="50" t="inlineStr">
        <is>
          <t>2026-07-03</t>
        </is>
      </c>
      <c r="D239" s="47" t="inlineStr">
        <is>
          <t>Hastane (Kurumsal)</t>
        </is>
      </c>
      <c r="E239" s="47" t="inlineStr">
        <is>
          <t>Instagram Öne Çıkarma</t>
        </is>
      </c>
      <c r="F239" s="47" t="inlineStr">
        <is>
          <t>Öne Çıkarma - Doruk Hastaneleri</t>
        </is>
      </c>
      <c r="G239" s="84" t="n">
        <v>959.49</v>
      </c>
      <c r="H239" s="47" t="inlineStr">
        <is>
          <t>Instagram profili ziyaretleri</t>
        </is>
      </c>
      <c r="I239" s="50" t="n">
        <v>147</v>
      </c>
      <c r="J239" s="50" t="n">
        <v>13006</v>
      </c>
      <c r="K239" s="50" t="n">
        <v>14513</v>
      </c>
    </row>
    <row r="240">
      <c r="A240" s="43" t="inlineStr">
        <is>
          <t>Doruk Hastaneleri</t>
        </is>
      </c>
      <c r="B240" s="43" t="inlineStr">
        <is>
          <t>Instagram gönderisi: Doruk Bülten’in yeni sayısı...</t>
        </is>
      </c>
      <c r="C240" s="46" t="inlineStr">
        <is>
          <t>2026-07-03</t>
        </is>
      </c>
      <c r="D240" s="43" t="inlineStr">
        <is>
          <t>Hastane (Kurumsal)</t>
        </is>
      </c>
      <c r="E240" s="43" t="inlineStr">
        <is>
          <t>Instagram Öne Çıkarma</t>
        </is>
      </c>
      <c r="F240" s="43" t="inlineStr">
        <is>
          <t>Öne Çıkarma - Doruk Hastaneleri</t>
        </is>
      </c>
      <c r="G240" s="83" t="n">
        <v>948.13</v>
      </c>
      <c r="H240" s="43" t="inlineStr">
        <is>
          <t>Instagram profili ziyaretleri</t>
        </is>
      </c>
      <c r="I240" s="46" t="n">
        <v>283</v>
      </c>
      <c r="J240" s="46" t="n">
        <v>5708</v>
      </c>
      <c r="K240" s="46" t="n">
        <v>6811</v>
      </c>
    </row>
    <row r="241">
      <c r="A241" s="47" t="inlineStr">
        <is>
          <t>Doruk Hastaneleri</t>
        </is>
      </c>
      <c r="B241" s="47" t="inlineStr">
        <is>
          <t>Instagram gönderisi: Meme kanseri, kadınlarda en...</t>
        </is>
      </c>
      <c r="C241" s="50" t="inlineStr">
        <is>
          <t>2026-07-02</t>
        </is>
      </c>
      <c r="D241" s="47" t="inlineStr">
        <is>
          <t>Hastane (Kurumsal)</t>
        </is>
      </c>
      <c r="E241" s="47" t="inlineStr">
        <is>
          <t>Instagram Öne Çıkarma</t>
        </is>
      </c>
      <c r="F241" s="47" t="inlineStr">
        <is>
          <t>Öne Çıkarma - Doruk Hastaneleri</t>
        </is>
      </c>
      <c r="G241" s="84" t="n">
        <v>947.76</v>
      </c>
      <c r="H241" s="47" t="inlineStr">
        <is>
          <t>Instagram profili ziyaretleri</t>
        </is>
      </c>
      <c r="I241" s="50" t="n">
        <v>158</v>
      </c>
      <c r="J241" s="50" t="n">
        <v>12359</v>
      </c>
      <c r="K241" s="50" t="n">
        <v>13757</v>
      </c>
    </row>
    <row r="242">
      <c r="A242" s="43" t="inlineStr">
        <is>
          <t>Doruk Hastaneleri</t>
        </is>
      </c>
      <c r="B242" s="43" t="inlineStr">
        <is>
          <t>Instagram gönderisi: Böbrek taşı tedavisinde...</t>
        </is>
      </c>
      <c r="C242" s="46" t="inlineStr">
        <is>
          <t>2026-07-03</t>
        </is>
      </c>
      <c r="D242" s="43" t="inlineStr">
        <is>
          <t>Hastane (Kurumsal)</t>
        </is>
      </c>
      <c r="E242" s="43" t="inlineStr">
        <is>
          <t>Instagram Öne Çıkarma</t>
        </is>
      </c>
      <c r="F242" s="43" t="inlineStr">
        <is>
          <t>Öne Çıkarma - Doruk Hastaneleri</t>
        </is>
      </c>
      <c r="G242" s="83" t="n">
        <v>938.53</v>
      </c>
      <c r="H242" s="43" t="inlineStr">
        <is>
          <t>Instagram profili ziyaretleri</t>
        </is>
      </c>
      <c r="I242" s="46" t="n">
        <v>142</v>
      </c>
      <c r="J242" s="46" t="n">
        <v>7657</v>
      </c>
      <c r="K242" s="46" t="n">
        <v>8744</v>
      </c>
    </row>
    <row r="243">
      <c r="A243" s="47" t="inlineStr">
        <is>
          <t>Doruk Hastaneleri</t>
        </is>
      </c>
      <c r="B243" s="47" t="inlineStr">
        <is>
          <t>Instagram gönderisi: Doruk Sağlık Grubu olarak,...</t>
        </is>
      </c>
      <c r="C243" s="50" t="inlineStr">
        <is>
          <t>2026-07-11</t>
        </is>
      </c>
      <c r="D243" s="47" t="inlineStr">
        <is>
          <t>Hastane (Kurumsal)</t>
        </is>
      </c>
      <c r="E243" s="47" t="inlineStr">
        <is>
          <t>Instagram Öne Çıkarma</t>
        </is>
      </c>
      <c r="F243" s="47" t="inlineStr">
        <is>
          <t>Öne Çıkarma - Doruk Hastaneleri</t>
        </is>
      </c>
      <c r="G243" s="84" t="n">
        <v>923.66</v>
      </c>
      <c r="H243" s="47" t="inlineStr">
        <is>
          <t>Instagram profili ziyaretleri</t>
        </is>
      </c>
      <c r="I243" s="50" t="n">
        <v>244</v>
      </c>
      <c r="J243" s="50" t="n">
        <v>15901</v>
      </c>
      <c r="K243" s="50" t="n">
        <v>16125</v>
      </c>
    </row>
    <row r="244">
      <c r="A244" s="43" t="inlineStr">
        <is>
          <t>Doruk Hastaneleri</t>
        </is>
      </c>
      <c r="B244" s="43" t="inlineStr">
        <is>
          <t>Instagram gönderisi: Doruk Bülten’in yeni sayısı...</t>
        </is>
      </c>
      <c r="C244" s="46" t="inlineStr">
        <is>
          <t>2026-07-02</t>
        </is>
      </c>
      <c r="D244" s="43" t="inlineStr">
        <is>
          <t>Hastane (Kurumsal)</t>
        </is>
      </c>
      <c r="E244" s="43" t="inlineStr">
        <is>
          <t>Instagram Öne Çıkarma</t>
        </is>
      </c>
      <c r="F244" s="43" t="inlineStr">
        <is>
          <t>Öne Çıkarma - Doruk Hastaneleri</t>
        </is>
      </c>
      <c r="G244" s="83" t="n">
        <v>909.9</v>
      </c>
      <c r="H244" s="43" t="inlineStr">
        <is>
          <t>Instagram profili ziyaretleri</t>
        </is>
      </c>
      <c r="I244" s="46" t="n">
        <v>129</v>
      </c>
      <c r="J244" s="46" t="n">
        <v>4075</v>
      </c>
      <c r="K244" s="46" t="n">
        <v>4719</v>
      </c>
    </row>
    <row r="245">
      <c r="A245" s="47" t="inlineStr">
        <is>
          <t>Doruk Hastaneleri</t>
        </is>
      </c>
      <c r="B245" s="47" t="inlineStr">
        <is>
          <t>Instagram gönderisi: Doruk Bülten’in yeni sayısı...</t>
        </is>
      </c>
      <c r="C245" s="50" t="inlineStr">
        <is>
          <t>2026-07-03</t>
        </is>
      </c>
      <c r="D245" s="47" t="inlineStr">
        <is>
          <t>Hastane (Kurumsal)</t>
        </is>
      </c>
      <c r="E245" s="47" t="inlineStr">
        <is>
          <t>Instagram Öne Çıkarma</t>
        </is>
      </c>
      <c r="F245" s="47" t="inlineStr">
        <is>
          <t>Öne Çıkarma - Doruk Hastaneleri</t>
        </is>
      </c>
      <c r="G245" s="84" t="n">
        <v>907.58</v>
      </c>
      <c r="H245" s="47" t="inlineStr">
        <is>
          <t>Instagram profili ziyaretleri</t>
        </is>
      </c>
      <c r="I245" s="50" t="n">
        <v>143</v>
      </c>
      <c r="J245" s="50" t="n">
        <v>4795</v>
      </c>
      <c r="K245" s="50" t="n">
        <v>5300</v>
      </c>
    </row>
    <row r="246">
      <c r="A246" s="43" t="inlineStr">
        <is>
          <t>Doruk Hastaneleri</t>
        </is>
      </c>
      <c r="B246" s="43" t="inlineStr">
        <is>
          <t>Instagram gönderisi: Doruk Bülten’in yeni sayısı...</t>
        </is>
      </c>
      <c r="C246" s="46" t="inlineStr">
        <is>
          <t>2026-06-30</t>
        </is>
      </c>
      <c r="D246" s="43" t="inlineStr">
        <is>
          <t>Hastane (Kurumsal)</t>
        </is>
      </c>
      <c r="E246" s="43" t="inlineStr">
        <is>
          <t>Instagram Öne Çıkarma</t>
        </is>
      </c>
      <c r="F246" s="43" t="inlineStr">
        <is>
          <t>Öne Çıkarma - Doruk Hastaneleri</t>
        </is>
      </c>
      <c r="G246" s="83" t="n">
        <v>907.48</v>
      </c>
      <c r="H246" s="43" t="inlineStr">
        <is>
          <t>Instagram profili ziyaretleri</t>
        </is>
      </c>
      <c r="I246" s="46" t="n">
        <v>233</v>
      </c>
      <c r="J246" s="46" t="n">
        <v>5303</v>
      </c>
      <c r="K246" s="46" t="n">
        <v>6106</v>
      </c>
    </row>
    <row r="247">
      <c r="A247" s="47" t="inlineStr">
        <is>
          <t>Doruk Hastaneleri</t>
        </is>
      </c>
      <c r="B247" s="47" t="inlineStr">
        <is>
          <t>Instagram gönderisi: Böbrek taşı tedavisinde...</t>
        </is>
      </c>
      <c r="C247" s="50" t="inlineStr">
        <is>
          <t>2026-07-02</t>
        </is>
      </c>
      <c r="D247" s="47" t="inlineStr">
        <is>
          <t>Hastane (Kurumsal)</t>
        </is>
      </c>
      <c r="E247" s="47" t="inlineStr">
        <is>
          <t>Instagram Öne Çıkarma</t>
        </is>
      </c>
      <c r="F247" s="47" t="inlineStr">
        <is>
          <t>Öne Çıkarma - Doruk Hastaneleri</t>
        </is>
      </c>
      <c r="G247" s="84" t="n">
        <v>904.23</v>
      </c>
      <c r="H247" s="47" t="inlineStr">
        <is>
          <t>Instagram profili ziyaretleri</t>
        </is>
      </c>
      <c r="I247" s="50" t="n">
        <v>164</v>
      </c>
      <c r="J247" s="50" t="n">
        <v>5652</v>
      </c>
      <c r="K247" s="50" t="n">
        <v>6763</v>
      </c>
    </row>
    <row r="248">
      <c r="A248" s="43" t="inlineStr">
        <is>
          <t>Doruk Hastaneleri</t>
        </is>
      </c>
      <c r="B248" s="43" t="inlineStr">
        <is>
          <t>Instagram gönderisi: Doruk Sağlık Grubu olarak,...</t>
        </is>
      </c>
      <c r="C248" s="46" t="inlineStr">
        <is>
          <t>2026-07-21</t>
        </is>
      </c>
      <c r="D248" s="43" t="inlineStr">
        <is>
          <t>Hastane (Kurumsal)</t>
        </is>
      </c>
      <c r="E248" s="43" t="inlineStr">
        <is>
          <t>Instagram Öne Çıkarma</t>
        </is>
      </c>
      <c r="F248" s="43" t="inlineStr">
        <is>
          <t>Öne Çıkarma - Doruk Hastaneleri</t>
        </is>
      </c>
      <c r="G248" s="83" t="n">
        <v>878.4299999999999</v>
      </c>
      <c r="H248" s="43" t="inlineStr">
        <is>
          <t>Instagram profili ziyaretleri</t>
        </is>
      </c>
      <c r="I248" s="46" t="n">
        <v>193</v>
      </c>
      <c r="J248" s="46" t="n">
        <v>15750</v>
      </c>
      <c r="K248" s="46" t="n">
        <v>16640</v>
      </c>
    </row>
    <row r="249">
      <c r="A249" s="47" t="inlineStr">
        <is>
          <t>Doruk Hastaneleri</t>
        </is>
      </c>
      <c r="B249" s="47" t="inlineStr">
        <is>
          <t>Instagram gönderisi: Meme kanseri, kadınlarda en...</t>
        </is>
      </c>
      <c r="C249" s="50" t="inlineStr">
        <is>
          <t>2026-06-30</t>
        </is>
      </c>
      <c r="D249" s="47" t="inlineStr">
        <is>
          <t>Hastane (Kurumsal)</t>
        </is>
      </c>
      <c r="E249" s="47" t="inlineStr">
        <is>
          <t>Instagram Öne Çıkarma</t>
        </is>
      </c>
      <c r="F249" s="47" t="inlineStr">
        <is>
          <t>Öne Çıkarma - Doruk Hastaneleri</t>
        </is>
      </c>
      <c r="G249" s="84" t="n">
        <v>852.38</v>
      </c>
      <c r="H249" s="47" t="inlineStr">
        <is>
          <t>Instagram profili ziyaretleri</t>
        </is>
      </c>
      <c r="I249" s="50" t="n">
        <v>139</v>
      </c>
      <c r="J249" s="50" t="n">
        <v>5211</v>
      </c>
      <c r="K249" s="50" t="n">
        <v>5942</v>
      </c>
    </row>
    <row r="250">
      <c r="A250" s="43" t="inlineStr">
        <is>
          <t>Doruk Hastaneleri</t>
        </is>
      </c>
      <c r="B250" s="43" t="inlineStr">
        <is>
          <t>Instagram gönderisi: Doruk Bülten’in yeni sayısı...</t>
        </is>
      </c>
      <c r="C250" s="46" t="inlineStr">
        <is>
          <t>2026-07-02</t>
        </is>
      </c>
      <c r="D250" s="43" t="inlineStr">
        <is>
          <t>Hastane (Kurumsal)</t>
        </is>
      </c>
      <c r="E250" s="43" t="inlineStr">
        <is>
          <t>Instagram Öne Çıkarma</t>
        </is>
      </c>
      <c r="F250" s="43" t="inlineStr">
        <is>
          <t>Öne Çıkarma - Doruk Hastaneleri</t>
        </is>
      </c>
      <c r="G250" s="83" t="n">
        <v>842.24</v>
      </c>
      <c r="H250" s="43" t="inlineStr">
        <is>
          <t>Instagram profili ziyaretleri</t>
        </is>
      </c>
      <c r="I250" s="46" t="n">
        <v>251</v>
      </c>
      <c r="J250" s="46" t="n">
        <v>5304</v>
      </c>
      <c r="K250" s="46" t="n">
        <v>5995</v>
      </c>
    </row>
    <row r="251">
      <c r="A251" s="47" t="inlineStr">
        <is>
          <t>Doruk Hastaneleri</t>
        </is>
      </c>
      <c r="B251" s="47" t="inlineStr">
        <is>
          <t>Instagram gönderisi: Doğum şekli, gebelik...</t>
        </is>
      </c>
      <c r="C251" s="50" t="inlineStr">
        <is>
          <t>2026-07-06</t>
        </is>
      </c>
      <c r="D251" s="47" t="inlineStr">
        <is>
          <t>Hastane (Kurumsal)</t>
        </is>
      </c>
      <c r="E251" s="47" t="inlineStr">
        <is>
          <t>Instagram Öne Çıkarma</t>
        </is>
      </c>
      <c r="F251" s="47" t="inlineStr">
        <is>
          <t>Öne Çıkarma - Doruk Hastaneleri</t>
        </is>
      </c>
      <c r="G251" s="84" t="n">
        <v>820.58</v>
      </c>
      <c r="H251" s="47" t="inlineStr">
        <is>
          <t>Instagram profili ziyaretleri</t>
        </is>
      </c>
      <c r="I251" s="50" t="n">
        <v>169</v>
      </c>
      <c r="J251" s="50" t="n">
        <v>9404</v>
      </c>
      <c r="K251" s="50" t="n">
        <v>9643</v>
      </c>
    </row>
    <row r="252">
      <c r="A252" s="43" t="inlineStr">
        <is>
          <t>Doruk Hastaneleri</t>
        </is>
      </c>
      <c r="B252" s="43" t="inlineStr">
        <is>
          <t>Instagram gönderisi: Fetal gelişim kısıtlılığı,...</t>
        </is>
      </c>
      <c r="C252" s="46" t="inlineStr">
        <is>
          <t>2026-06-24</t>
        </is>
      </c>
      <c r="D252" s="43" t="inlineStr">
        <is>
          <t>Hastane (Kurumsal)</t>
        </is>
      </c>
      <c r="E252" s="43" t="inlineStr">
        <is>
          <t>Instagram Öne Çıkarma</t>
        </is>
      </c>
      <c r="F252" s="43" t="inlineStr">
        <is>
          <t>Öne Çıkarma - Doruk Hastaneleri</t>
        </is>
      </c>
      <c r="G252" s="83" t="n">
        <v>817.73</v>
      </c>
      <c r="H252" s="43" t="inlineStr">
        <is>
          <t>Instagram profili ziyaretleri</t>
        </is>
      </c>
      <c r="I252" s="46" t="n">
        <v>103</v>
      </c>
      <c r="J252" s="46" t="n">
        <v>8089</v>
      </c>
      <c r="K252" s="46" t="n">
        <v>8442</v>
      </c>
    </row>
    <row r="253">
      <c r="A253" s="47" t="inlineStr">
        <is>
          <t>Doruk Hastaneleri</t>
        </is>
      </c>
      <c r="B253" s="47" t="inlineStr">
        <is>
          <t>Instagram gönderisi: Meme kanseri, kadınlarda en...</t>
        </is>
      </c>
      <c r="C253" s="50" t="inlineStr">
        <is>
          <t>2026-07-06</t>
        </is>
      </c>
      <c r="D253" s="47" t="inlineStr">
        <is>
          <t>Hastane (Kurumsal)</t>
        </is>
      </c>
      <c r="E253" s="47" t="inlineStr">
        <is>
          <t>Instagram Öne Çıkarma</t>
        </is>
      </c>
      <c r="F253" s="47" t="inlineStr">
        <is>
          <t>Öne Çıkarma - Doruk Hastaneleri</t>
        </is>
      </c>
      <c r="G253" s="84" t="n">
        <v>814.1900000000001</v>
      </c>
      <c r="H253" s="47" t="inlineStr">
        <is>
          <t>Instagram profili ziyaretleri</t>
        </is>
      </c>
      <c r="I253" s="50" t="n">
        <v>110</v>
      </c>
      <c r="J253" s="50" t="n">
        <v>15378</v>
      </c>
      <c r="K253" s="50" t="n">
        <v>15378</v>
      </c>
    </row>
    <row r="254">
      <c r="A254" s="43" t="inlineStr">
        <is>
          <t>Doruk Hastaneleri</t>
        </is>
      </c>
      <c r="B254" s="43" t="inlineStr">
        <is>
          <t>Instagram gönderisi: Doğum şekli, gebelik...</t>
        </is>
      </c>
      <c r="C254" s="46" t="inlineStr">
        <is>
          <t>2026-06-30</t>
        </is>
      </c>
      <c r="D254" s="43" t="inlineStr">
        <is>
          <t>Hastane (Kurumsal)</t>
        </is>
      </c>
      <c r="E254" s="43" t="inlineStr">
        <is>
          <t>Instagram Öne Çıkarma</t>
        </is>
      </c>
      <c r="F254" s="43" t="inlineStr">
        <is>
          <t>Öne Çıkarma - Doruk Hastaneleri</t>
        </is>
      </c>
      <c r="G254" s="83" t="n">
        <v>766.84</v>
      </c>
      <c r="H254" s="43" t="inlineStr">
        <is>
          <t>Instagram profili ziyaretleri</t>
        </is>
      </c>
      <c r="I254" s="46" t="n">
        <v>231</v>
      </c>
      <c r="J254" s="46" t="n">
        <v>6320</v>
      </c>
      <c r="K254" s="46" t="n">
        <v>7629</v>
      </c>
    </row>
    <row r="255">
      <c r="A255" s="47" t="inlineStr">
        <is>
          <t>Doruk Hastaneleri</t>
        </is>
      </c>
      <c r="B255" s="47" t="inlineStr">
        <is>
          <t>Instagram gönderisi: Prostat cerrahisinde gelişen...</t>
        </is>
      </c>
      <c r="C255" s="50" t="inlineStr">
        <is>
          <t>2026-06-24</t>
        </is>
      </c>
      <c r="D255" s="47" t="inlineStr">
        <is>
          <t>Hastane (Kurumsal)</t>
        </is>
      </c>
      <c r="E255" s="47" t="inlineStr">
        <is>
          <t>Instagram Öne Çıkarma</t>
        </is>
      </c>
      <c r="F255" s="47" t="inlineStr">
        <is>
          <t>Öne Çıkarma - Doruk Hastaneleri</t>
        </is>
      </c>
      <c r="G255" s="84" t="n">
        <v>755.03</v>
      </c>
      <c r="H255" s="47" t="inlineStr">
        <is>
          <t>Instagram profili ziyaretleri</t>
        </is>
      </c>
      <c r="I255" s="50" t="n">
        <v>101</v>
      </c>
      <c r="J255" s="50" t="n">
        <v>7005</v>
      </c>
      <c r="K255" s="50" t="n">
        <v>7566</v>
      </c>
    </row>
    <row r="256">
      <c r="A256" s="43" t="inlineStr">
        <is>
          <t>Doruk Hastaneleri</t>
        </is>
      </c>
      <c r="B256" s="43" t="inlineStr">
        <is>
          <t>Instagram gönderisi: Doruk Bülten’in yeni sayısı...</t>
        </is>
      </c>
      <c r="C256" s="46" t="inlineStr">
        <is>
          <t>2026-07-06</t>
        </is>
      </c>
      <c r="D256" s="43" t="inlineStr">
        <is>
          <t>Hastane (Kurumsal)</t>
        </is>
      </c>
      <c r="E256" s="43" t="inlineStr">
        <is>
          <t>Instagram Öne Çıkarma</t>
        </is>
      </c>
      <c r="F256" s="43" t="inlineStr">
        <is>
          <t>Öne Çıkarma - Doruk Hastaneleri</t>
        </is>
      </c>
      <c r="G256" s="83" t="n">
        <v>727.36</v>
      </c>
      <c r="H256" s="43" t="inlineStr">
        <is>
          <t>Instagram profili ziyaretleri</t>
        </is>
      </c>
      <c r="I256" s="46" t="n">
        <v>129</v>
      </c>
      <c r="J256" s="46" t="n">
        <v>6350</v>
      </c>
      <c r="K256" s="46" t="n">
        <v>6458</v>
      </c>
    </row>
    <row r="257">
      <c r="A257" s="47" t="inlineStr">
        <is>
          <t>Doruk Hastaneleri</t>
        </is>
      </c>
      <c r="B257" s="47" t="inlineStr">
        <is>
          <t>Instagram gönderisi: Böbrek taşı tedavisinde...</t>
        </is>
      </c>
      <c r="C257" s="50" t="inlineStr">
        <is>
          <t>2026-07-01</t>
        </is>
      </c>
      <c r="D257" s="47" t="inlineStr">
        <is>
          <t>Hastane (Kurumsal)</t>
        </is>
      </c>
      <c r="E257" s="47" t="inlineStr">
        <is>
          <t>Instagram Öne Çıkarma</t>
        </is>
      </c>
      <c r="F257" s="47" t="inlineStr">
        <is>
          <t>Öne Çıkarma - Doruk Hastaneleri</t>
        </is>
      </c>
      <c r="G257" s="84" t="n">
        <v>703.16</v>
      </c>
      <c r="H257" s="47" t="inlineStr">
        <is>
          <t>Instagram profili ziyaretleri</t>
        </is>
      </c>
      <c r="I257" s="50" t="n">
        <v>106</v>
      </c>
      <c r="J257" s="50" t="n">
        <v>5701</v>
      </c>
      <c r="K257" s="50" t="n">
        <v>6806</v>
      </c>
    </row>
    <row r="258">
      <c r="A258" s="43" t="inlineStr">
        <is>
          <t>Doruk Hastaneleri</t>
        </is>
      </c>
      <c r="B258" s="43" t="inlineStr">
        <is>
          <t>Instagram gönderisi: Doruk Bülten’in yeni sayısı...</t>
        </is>
      </c>
      <c r="C258" s="46" t="inlineStr">
        <is>
          <t>2026-07-01</t>
        </is>
      </c>
      <c r="D258" s="43" t="inlineStr">
        <is>
          <t>Hastane (Kurumsal)</t>
        </is>
      </c>
      <c r="E258" s="43" t="inlineStr">
        <is>
          <t>Instagram Öne Çıkarma</t>
        </is>
      </c>
      <c r="F258" s="43" t="inlineStr">
        <is>
          <t>Öne Çıkarma - Doruk Hastaneleri</t>
        </is>
      </c>
      <c r="G258" s="83" t="n">
        <v>697.63</v>
      </c>
      <c r="H258" s="43" t="inlineStr">
        <is>
          <t>Instagram profili ziyaretleri</t>
        </is>
      </c>
      <c r="I258" s="46" t="n">
        <v>88</v>
      </c>
      <c r="J258" s="46" t="n">
        <v>3880</v>
      </c>
      <c r="K258" s="46" t="n">
        <v>4248</v>
      </c>
    </row>
    <row r="259">
      <c r="A259" s="47" t="inlineStr">
        <is>
          <t>Doruk Hastaneleri</t>
        </is>
      </c>
      <c r="B259" s="47" t="inlineStr">
        <is>
          <t>Instagram gönderisi: Bir sezon boyunca ortaya...</t>
        </is>
      </c>
      <c r="C259" s="50" t="inlineStr">
        <is>
          <t>2026-07-14</t>
        </is>
      </c>
      <c r="D259" s="47" t="inlineStr">
        <is>
          <t>Hastane (Kurumsal)</t>
        </is>
      </c>
      <c r="E259" s="47" t="inlineStr">
        <is>
          <t>Instagram Öne Çıkarma</t>
        </is>
      </c>
      <c r="F259" s="47" t="inlineStr">
        <is>
          <t>Öne Çıkarma - Doruk Hastaneleri</t>
        </is>
      </c>
      <c r="G259" s="84" t="n">
        <v>696.26</v>
      </c>
      <c r="H259" s="47" t="inlineStr">
        <is>
          <t>Instagram profili ziyaretleri</t>
        </is>
      </c>
      <c r="I259" s="50" t="n">
        <v>167</v>
      </c>
      <c r="J259" s="50" t="n">
        <v>11908</v>
      </c>
      <c r="K259" s="50" t="n">
        <v>12139</v>
      </c>
    </row>
    <row r="260">
      <c r="A260" s="43" t="inlineStr">
        <is>
          <t>Doruk Hastaneleri</t>
        </is>
      </c>
      <c r="B260" s="43" t="inlineStr">
        <is>
          <t>Instagram gönderisi: Doruk Bülten’in yeni sayısı...</t>
        </is>
      </c>
      <c r="C260" s="46" t="inlineStr">
        <is>
          <t>2026-06-29</t>
        </is>
      </c>
      <c r="D260" s="43" t="inlineStr">
        <is>
          <t>Hastane (Kurumsal)</t>
        </is>
      </c>
      <c r="E260" s="43" t="inlineStr">
        <is>
          <t>Instagram Öne Çıkarma</t>
        </is>
      </c>
      <c r="F260" s="43" t="inlineStr">
        <is>
          <t>Öne Çıkarma - Doruk Hastaneleri</t>
        </is>
      </c>
      <c r="G260" s="83" t="n">
        <v>645.35</v>
      </c>
      <c r="H260" s="43" t="inlineStr">
        <is>
          <t>Instagram profili ziyaretleri</t>
        </is>
      </c>
      <c r="I260" s="46" t="n">
        <v>159</v>
      </c>
      <c r="J260" s="46" t="n">
        <v>4046</v>
      </c>
      <c r="K260" s="46" t="n">
        <v>4618</v>
      </c>
    </row>
    <row r="261">
      <c r="A261" s="47" t="inlineStr">
        <is>
          <t>Doruk Hastaneleri</t>
        </is>
      </c>
      <c r="B261" s="47" t="inlineStr">
        <is>
          <t>Instagram gönderisi: Doğum şekli, gebelik...</t>
        </is>
      </c>
      <c r="C261" s="50" t="inlineStr">
        <is>
          <t>2026-07-05</t>
        </is>
      </c>
      <c r="D261" s="47" t="inlineStr">
        <is>
          <t>Hastane (Kurumsal)</t>
        </is>
      </c>
      <c r="E261" s="47" t="inlineStr">
        <is>
          <t>Instagram Öne Çıkarma</t>
        </is>
      </c>
      <c r="F261" s="47" t="inlineStr">
        <is>
          <t>Öne Çıkarma - Doruk Hastaneleri</t>
        </is>
      </c>
      <c r="G261" s="84" t="n">
        <v>605.9</v>
      </c>
      <c r="H261" s="47" t="inlineStr">
        <is>
          <t>Instagram profili ziyaretleri</t>
        </is>
      </c>
      <c r="I261" s="50" t="n">
        <v>138</v>
      </c>
      <c r="J261" s="50" t="n">
        <v>5175</v>
      </c>
      <c r="K261" s="50" t="n">
        <v>5317</v>
      </c>
    </row>
    <row r="262">
      <c r="A262" s="43" t="inlineStr">
        <is>
          <t>Doruk Hastaneleri</t>
        </is>
      </c>
      <c r="B262" s="43" t="inlineStr">
        <is>
          <t>Instagram gönderisi: Meme kanseri, kadınlarda en...</t>
        </is>
      </c>
      <c r="C262" s="46" t="inlineStr">
        <is>
          <t>2026-07-05</t>
        </is>
      </c>
      <c r="D262" s="43" t="inlineStr">
        <is>
          <t>Hastane (Kurumsal)</t>
        </is>
      </c>
      <c r="E262" s="43" t="inlineStr">
        <is>
          <t>Instagram Öne Çıkarma</t>
        </is>
      </c>
      <c r="F262" s="43" t="inlineStr">
        <is>
          <t>Öne Çıkarma - Doruk Hastaneleri</t>
        </is>
      </c>
      <c r="G262" s="83" t="n">
        <v>587.05</v>
      </c>
      <c r="H262" s="43" t="inlineStr">
        <is>
          <t>Instagram profili ziyaretleri</t>
        </is>
      </c>
      <c r="I262" s="46" t="n">
        <v>94</v>
      </c>
      <c r="J262" s="46" t="n">
        <v>7548</v>
      </c>
      <c r="K262" s="46" t="n">
        <v>8035</v>
      </c>
    </row>
    <row r="263">
      <c r="A263" s="47" t="inlineStr">
        <is>
          <t>Doruk Hastaneleri</t>
        </is>
      </c>
      <c r="B263" s="47" t="inlineStr">
        <is>
          <t>Instagram gönderisi: Doruk Bülten’in yeni sayısı...</t>
        </is>
      </c>
      <c r="C263" s="50" t="inlineStr">
        <is>
          <t>2026-07-05</t>
        </is>
      </c>
      <c r="D263" s="47" t="inlineStr">
        <is>
          <t>Hastane (Kurumsal)</t>
        </is>
      </c>
      <c r="E263" s="47" t="inlineStr">
        <is>
          <t>Instagram Öne Çıkarma</t>
        </is>
      </c>
      <c r="F263" s="47" t="inlineStr">
        <is>
          <t>Öne Çıkarma - Doruk Hastaneleri</t>
        </is>
      </c>
      <c r="G263" s="84" t="n">
        <v>579.95</v>
      </c>
      <c r="H263" s="47" t="inlineStr">
        <is>
          <t>Instagram profili ziyaretleri</t>
        </is>
      </c>
      <c r="I263" s="50" t="n">
        <v>75</v>
      </c>
      <c r="J263" s="50" t="n">
        <v>2408</v>
      </c>
      <c r="K263" s="50" t="n">
        <v>2573</v>
      </c>
    </row>
    <row r="264">
      <c r="A264" s="43" t="inlineStr">
        <is>
          <t>Doruk Hastaneleri</t>
        </is>
      </c>
      <c r="B264" s="43" t="inlineStr">
        <is>
          <t>Instagram gönderisi: Doruk Bülten’in yeni sayısı...</t>
        </is>
      </c>
      <c r="C264" s="46" t="inlineStr">
        <is>
          <t>2026-07-05</t>
        </is>
      </c>
      <c r="D264" s="43" t="inlineStr">
        <is>
          <t>Hastane (Kurumsal)</t>
        </is>
      </c>
      <c r="E264" s="43" t="inlineStr">
        <is>
          <t>Instagram Öne Çıkarma</t>
        </is>
      </c>
      <c r="F264" s="43" t="inlineStr">
        <is>
          <t>Öne Çıkarma - Doruk Hastaneleri</t>
        </is>
      </c>
      <c r="G264" s="83" t="n">
        <v>575.01</v>
      </c>
      <c r="H264" s="43" t="inlineStr">
        <is>
          <t>Instagram profili ziyaretleri</t>
        </is>
      </c>
      <c r="I264" s="46" t="n">
        <v>125</v>
      </c>
      <c r="J264" s="46" t="n">
        <v>3360</v>
      </c>
      <c r="K264" s="46" t="n">
        <v>3773</v>
      </c>
    </row>
    <row r="265">
      <c r="A265" s="47" t="inlineStr">
        <is>
          <t>Doruk Hastaneleri</t>
        </is>
      </c>
      <c r="B265" s="47" t="inlineStr">
        <is>
          <t>Instagram gönderisi: Doğum şekli, gebelik...</t>
        </is>
      </c>
      <c r="C265" s="50" t="inlineStr">
        <is>
          <t>2026-06-29</t>
        </is>
      </c>
      <c r="D265" s="47" t="inlineStr">
        <is>
          <t>Hastane (Kurumsal)</t>
        </is>
      </c>
      <c r="E265" s="47" t="inlineStr">
        <is>
          <t>Instagram Öne Çıkarma</t>
        </is>
      </c>
      <c r="F265" s="47" t="inlineStr">
        <is>
          <t>Öne Çıkarma - Doruk Hastaneleri</t>
        </is>
      </c>
      <c r="G265" s="84" t="n">
        <v>572.86</v>
      </c>
      <c r="H265" s="47" t="inlineStr">
        <is>
          <t>Instagram profili ziyaretleri</t>
        </is>
      </c>
      <c r="I265" s="50" t="n">
        <v>154</v>
      </c>
      <c r="J265" s="50" t="n">
        <v>6468</v>
      </c>
      <c r="K265" s="50" t="n">
        <v>7173</v>
      </c>
    </row>
    <row r="266">
      <c r="A266" s="43" t="inlineStr">
        <is>
          <t>Doruk Hastaneleri</t>
        </is>
      </c>
      <c r="B266" s="43" t="inlineStr">
        <is>
          <t>Instagram gönderisi: Böbrek taşı tedavisinde...</t>
        </is>
      </c>
      <c r="C266" s="46" t="inlineStr">
        <is>
          <t>2026-07-05</t>
        </is>
      </c>
      <c r="D266" s="43" t="inlineStr">
        <is>
          <t>Hastane (Kurumsal)</t>
        </is>
      </c>
      <c r="E266" s="43" t="inlineStr">
        <is>
          <t>Instagram Öne Çıkarma</t>
        </is>
      </c>
      <c r="F266" s="43" t="inlineStr">
        <is>
          <t>Öne Çıkarma - Doruk Hastaneleri</t>
        </is>
      </c>
      <c r="G266" s="83" t="n">
        <v>559.46</v>
      </c>
      <c r="H266" s="43" t="inlineStr">
        <is>
          <t>Instagram profili ziyaretleri</t>
        </is>
      </c>
      <c r="I266" s="46" t="n">
        <v>72</v>
      </c>
      <c r="J266" s="46" t="n">
        <v>4607</v>
      </c>
      <c r="K266" s="46" t="n">
        <v>4872</v>
      </c>
    </row>
    <row r="267">
      <c r="A267" s="47" t="inlineStr">
        <is>
          <t>Doruk Hastaneleri</t>
        </is>
      </c>
      <c r="B267" s="47" t="inlineStr">
        <is>
          <t>Instagram gönderisi: Meme kanseri, kadınlarda en...</t>
        </is>
      </c>
      <c r="C267" s="50" t="inlineStr">
        <is>
          <t>2026-06-29</t>
        </is>
      </c>
      <c r="D267" s="47" t="inlineStr">
        <is>
          <t>Hastane (Kurumsal)</t>
        </is>
      </c>
      <c r="E267" s="47" t="inlineStr">
        <is>
          <t>Instagram Öne Çıkarma</t>
        </is>
      </c>
      <c r="F267" s="47" t="inlineStr">
        <is>
          <t>Öne Çıkarma - Doruk Hastaneleri</t>
        </is>
      </c>
      <c r="G267" s="84" t="n">
        <v>554.74</v>
      </c>
      <c r="H267" s="47" t="inlineStr">
        <is>
          <t>Instagram profili ziyaretleri</t>
        </is>
      </c>
      <c r="I267" s="50" t="n">
        <v>92</v>
      </c>
      <c r="J267" s="50" t="n">
        <v>5336</v>
      </c>
      <c r="K267" s="50" t="n">
        <v>5477</v>
      </c>
    </row>
    <row r="268">
      <c r="A268" s="43" t="inlineStr">
        <is>
          <t>Doruk Hastaneleri</t>
        </is>
      </c>
      <c r="B268" s="43" t="inlineStr">
        <is>
          <t>Instagram gönderisi: Bir sezon boyunca ortaya...</t>
        </is>
      </c>
      <c r="C268" s="46" t="inlineStr">
        <is>
          <t>2026-07-06</t>
        </is>
      </c>
      <c r="D268" s="43" t="inlineStr">
        <is>
          <t>Hastane (Kurumsal)</t>
        </is>
      </c>
      <c r="E268" s="43" t="inlineStr">
        <is>
          <t>Instagram Öne Çıkarma</t>
        </is>
      </c>
      <c r="F268" s="43" t="inlineStr">
        <is>
          <t>Öne Çıkarma - Doruk Hastaneleri</t>
        </is>
      </c>
      <c r="G268" s="83" t="n">
        <v>541.23</v>
      </c>
      <c r="H268" s="43" t="inlineStr">
        <is>
          <t>Instagram profili ziyaretleri</t>
        </is>
      </c>
      <c r="I268" s="46" t="n">
        <v>118</v>
      </c>
      <c r="J268" s="46" t="n">
        <v>11624</v>
      </c>
      <c r="K268" s="46" t="n">
        <v>12146</v>
      </c>
    </row>
    <row r="269">
      <c r="A269" s="47" t="inlineStr">
        <is>
          <t>Doruk Hastaneleri</t>
        </is>
      </c>
      <c r="B269" s="47" t="inlineStr">
        <is>
          <t>Instagram gönderisi: Doruk Sağlık Grubu olarak,...</t>
        </is>
      </c>
      <c r="C269" s="50" t="inlineStr">
        <is>
          <t>2026-07-14</t>
        </is>
      </c>
      <c r="D269" s="47" t="inlineStr">
        <is>
          <t>Hastane (Kurumsal)</t>
        </is>
      </c>
      <c r="E269" s="47" t="inlineStr">
        <is>
          <t>Instagram Öne Çıkarma</t>
        </is>
      </c>
      <c r="F269" s="47" t="inlineStr">
        <is>
          <t>Öne Çıkarma - Doruk Hastaneleri</t>
        </is>
      </c>
      <c r="G269" s="84" t="n">
        <v>528.78</v>
      </c>
      <c r="H269" s="47" t="inlineStr">
        <is>
          <t>Instagram profili ziyaretleri</t>
        </is>
      </c>
      <c r="I269" s="50" t="n">
        <v>116</v>
      </c>
      <c r="J269" s="50" t="n">
        <v>6908</v>
      </c>
      <c r="K269" s="50" t="n">
        <v>7336</v>
      </c>
    </row>
    <row r="270">
      <c r="A270" s="43" t="inlineStr">
        <is>
          <t>Doruk Hastaneleri</t>
        </is>
      </c>
      <c r="B270" s="43" t="inlineStr">
        <is>
          <t>Instagram gönderisi: Doruk Sağlık Grubu olarak,...</t>
        </is>
      </c>
      <c r="C270" s="46" t="inlineStr">
        <is>
          <t>2026-07-06</t>
        </is>
      </c>
      <c r="D270" s="43" t="inlineStr">
        <is>
          <t>Hastane (Kurumsal)</t>
        </is>
      </c>
      <c r="E270" s="43" t="inlineStr">
        <is>
          <t>Instagram Öne Çıkarma</t>
        </is>
      </c>
      <c r="F270" s="43" t="inlineStr">
        <is>
          <t>Öne Çıkarma - Doruk Hastaneleri</t>
        </is>
      </c>
      <c r="G270" s="83" t="n">
        <v>453.59</v>
      </c>
      <c r="H270" s="43" t="inlineStr">
        <is>
          <t>Instagram profili ziyaretleri</t>
        </is>
      </c>
      <c r="I270" s="46" t="n">
        <v>107</v>
      </c>
      <c r="J270" s="46" t="n">
        <v>5969</v>
      </c>
      <c r="K270" s="46" t="n">
        <v>6023</v>
      </c>
    </row>
    <row r="271">
      <c r="A271" s="47" t="inlineStr">
        <is>
          <t>Doruk Hastaneleri</t>
        </is>
      </c>
      <c r="B271" s="47" t="inlineStr">
        <is>
          <t>Instagram gönderisi: İlişki sonrasında idrar...</t>
        </is>
      </c>
      <c r="C271" s="50" t="inlineStr">
        <is>
          <t>2026-07-22</t>
        </is>
      </c>
      <c r="D271" s="47" t="inlineStr">
        <is>
          <t>Hastane (Kurumsal)</t>
        </is>
      </c>
      <c r="E271" s="47" t="inlineStr">
        <is>
          <t>Instagram Öne Çıkarma</t>
        </is>
      </c>
      <c r="F271" s="47" t="inlineStr">
        <is>
          <t>Öne Çıkarma - Doruk Hastaneleri</t>
        </is>
      </c>
      <c r="G271" s="84" t="n">
        <v>424.39</v>
      </c>
      <c r="H271" s="47" t="inlineStr">
        <is>
          <t>Instagram profili ziyaretleri</t>
        </is>
      </c>
      <c r="I271" s="50" t="n">
        <v>81</v>
      </c>
      <c r="J271" s="50" t="n">
        <v>3453</v>
      </c>
      <c r="K271" s="50" t="n">
        <v>3727</v>
      </c>
    </row>
    <row r="272">
      <c r="A272" s="43" t="inlineStr">
        <is>
          <t>Doruk Hastaneleri</t>
        </is>
      </c>
      <c r="B272" s="43" t="inlineStr">
        <is>
          <t>Instagram gönderisi: 🏅 BURSA'DA BİR İLK
Özel...</t>
        </is>
      </c>
      <c r="C272" s="46" t="inlineStr">
        <is>
          <t>2026-07-22</t>
        </is>
      </c>
      <c r="D272" s="43" t="inlineStr">
        <is>
          <t>Hastane (Kurumsal)</t>
        </is>
      </c>
      <c r="E272" s="43" t="inlineStr">
        <is>
          <t>Instagram Öne Çıkarma</t>
        </is>
      </c>
      <c r="F272" s="43" t="inlineStr">
        <is>
          <t>Öne Çıkarma - Doruk Hastaneleri</t>
        </is>
      </c>
      <c r="G272" s="83" t="n">
        <v>408.52</v>
      </c>
      <c r="H272" s="43" t="inlineStr">
        <is>
          <t>Instagram profili ziyaretleri</t>
        </is>
      </c>
      <c r="I272" s="46" t="n">
        <v>139</v>
      </c>
      <c r="J272" s="46" t="n">
        <v>6448</v>
      </c>
      <c r="K272" s="46" t="n">
        <v>7406</v>
      </c>
    </row>
    <row r="273">
      <c r="A273" s="47" t="inlineStr">
        <is>
          <t>Doruk Hastaneleri</t>
        </is>
      </c>
      <c r="B273" s="47" t="inlineStr">
        <is>
          <t>Instagram gönderisi: Gebelikte bel ağrısı sık...</t>
        </is>
      </c>
      <c r="C273" s="50" t="inlineStr">
        <is>
          <t>2026-07-22</t>
        </is>
      </c>
      <c r="D273" s="47" t="inlineStr">
        <is>
          <t>Hastane (Kurumsal)</t>
        </is>
      </c>
      <c r="E273" s="47" t="inlineStr">
        <is>
          <t>Instagram Öne Çıkarma</t>
        </is>
      </c>
      <c r="F273" s="47" t="inlineStr">
        <is>
          <t>Öne Çıkarma - Doruk Hastaneleri</t>
        </is>
      </c>
      <c r="G273" s="84" t="n">
        <v>389.79</v>
      </c>
      <c r="H273" s="47" t="inlineStr">
        <is>
          <t>Instagram profili ziyaretleri</t>
        </is>
      </c>
      <c r="I273" s="50" t="n">
        <v>72</v>
      </c>
      <c r="J273" s="50" t="n">
        <v>4611</v>
      </c>
      <c r="K273" s="50" t="n">
        <v>4910</v>
      </c>
    </row>
    <row r="274">
      <c r="A274" s="43" t="inlineStr">
        <is>
          <t>Doruk Hastaneleri</t>
        </is>
      </c>
      <c r="B274" s="43" t="inlineStr">
        <is>
          <t>Instagram gönderisi: Aşılama tedavisi, gebelik...</t>
        </is>
      </c>
      <c r="C274" s="46" t="inlineStr">
        <is>
          <t>2026-07-22</t>
        </is>
      </c>
      <c r="D274" s="43" t="inlineStr">
        <is>
          <t>Hastane (Kurumsal)</t>
        </is>
      </c>
      <c r="E274" s="43" t="inlineStr">
        <is>
          <t>Instagram Öne Çıkarma</t>
        </is>
      </c>
      <c r="F274" s="43" t="inlineStr">
        <is>
          <t>Öne Çıkarma - Doruk Hastaneleri</t>
        </is>
      </c>
      <c r="G274" s="83" t="n">
        <v>383.58</v>
      </c>
      <c r="H274" s="43" t="inlineStr">
        <is>
          <t>Instagram profili ziyaretleri</t>
        </is>
      </c>
      <c r="I274" s="46" t="n">
        <v>46</v>
      </c>
      <c r="J274" s="46" t="n">
        <v>5723</v>
      </c>
      <c r="K274" s="46" t="n">
        <v>6224</v>
      </c>
    </row>
    <row r="275">
      <c r="A275" s="47" t="inlineStr">
        <is>
          <t>Doruk Hastaneleri</t>
        </is>
      </c>
      <c r="B275" s="47" t="inlineStr">
        <is>
          <t>Instagram gönderisi: Ablasyon tedavisi, vücutta...</t>
        </is>
      </c>
      <c r="C275" s="50" t="inlineStr">
        <is>
          <t>2026-07-22</t>
        </is>
      </c>
      <c r="D275" s="47" t="inlineStr">
        <is>
          <t>Hastane (Kurumsal)</t>
        </is>
      </c>
      <c r="E275" s="47" t="inlineStr">
        <is>
          <t>Instagram Öne Çıkarma</t>
        </is>
      </c>
      <c r="F275" s="47" t="inlineStr">
        <is>
          <t>Öne Çıkarma - Doruk Hastaneleri</t>
        </is>
      </c>
      <c r="G275" s="84" t="n">
        <v>370.9</v>
      </c>
      <c r="H275" s="47" t="inlineStr">
        <is>
          <t>Instagram profili ziyaretleri</t>
        </is>
      </c>
      <c r="I275" s="50" t="n">
        <v>45</v>
      </c>
      <c r="J275" s="50" t="n">
        <v>3118</v>
      </c>
      <c r="K275" s="50" t="n">
        <v>3561</v>
      </c>
    </row>
    <row r="276">
      <c r="A276" s="43" t="inlineStr">
        <is>
          <t>Doruk Hastaneleri</t>
        </is>
      </c>
      <c r="B276" s="43" t="inlineStr">
        <is>
          <t>Instagram gönderisi: Böbrek taşı tedavisinde...</t>
        </is>
      </c>
      <c r="C276" s="46" t="inlineStr">
        <is>
          <t>2026-07-06</t>
        </is>
      </c>
      <c r="D276" s="43" t="inlineStr">
        <is>
          <t>Hastane (Kurumsal)</t>
        </is>
      </c>
      <c r="E276" s="43" t="inlineStr">
        <is>
          <t>Instagram Öne Çıkarma</t>
        </is>
      </c>
      <c r="F276" s="43" t="inlineStr">
        <is>
          <t>Öne Çıkarma - Doruk Hastaneleri</t>
        </is>
      </c>
      <c r="G276" s="83" t="n">
        <v>163.95</v>
      </c>
      <c r="H276" s="43" t="inlineStr">
        <is>
          <t>Instagram profili ziyaretleri</t>
        </is>
      </c>
      <c r="I276" s="46" t="n">
        <v>22</v>
      </c>
      <c r="J276" s="46" t="n">
        <v>2190</v>
      </c>
      <c r="K276" s="46" t="n">
        <v>2310</v>
      </c>
    </row>
    <row r="277">
      <c r="A277" s="47" t="inlineStr">
        <is>
          <t>Doruk Hastaneleri</t>
        </is>
      </c>
      <c r="B277" s="47" t="inlineStr">
        <is>
          <t>Instagram gönderisi: Doruk Bülten’in yeni sayısı...</t>
        </is>
      </c>
      <c r="C277" s="50" t="inlineStr">
        <is>
          <t>2026-07-06</t>
        </is>
      </c>
      <c r="D277" s="47" t="inlineStr">
        <is>
          <t>Hastane (Kurumsal)</t>
        </is>
      </c>
      <c r="E277" s="47" t="inlineStr">
        <is>
          <t>Instagram Öne Çıkarma</t>
        </is>
      </c>
      <c r="F277" s="47" t="inlineStr">
        <is>
          <t>Öne Çıkarma - Doruk Hastaneleri</t>
        </is>
      </c>
      <c r="G277" s="84" t="n">
        <v>135.2</v>
      </c>
      <c r="H277" s="47" t="inlineStr">
        <is>
          <t>Instagram profili ziyaretleri</t>
        </is>
      </c>
      <c r="I277" s="50" t="n">
        <v>24</v>
      </c>
      <c r="J277" s="50" t="n">
        <v>743</v>
      </c>
      <c r="K277" s="50" t="n">
        <v>782</v>
      </c>
    </row>
    <row r="278">
      <c r="A278" s="43" t="inlineStr">
        <is>
          <t>Doruk Hastaneleri</t>
        </is>
      </c>
      <c r="B278" s="43" t="inlineStr">
        <is>
          <t>Gebe-Doğum Form Kampanyası</t>
        </is>
      </c>
      <c r="C278" s="46" t="inlineStr">
        <is>
          <t>2026-06-27</t>
        </is>
      </c>
      <c r="D278" s="43" t="inlineStr">
        <is>
          <t>Hastane (Kurumsal)</t>
        </is>
      </c>
      <c r="E278" s="43" t="inlineStr">
        <is>
          <t>Lead Toplama (Form)</t>
        </is>
      </c>
      <c r="F278" s="43" t="inlineStr">
        <is>
          <t>Lead - Kadın Doğum/Gebe/FTR</t>
        </is>
      </c>
      <c r="G278" s="83" t="n">
        <v>12022.45</v>
      </c>
      <c r="H278" s="43" t="inlineStr">
        <is>
          <t>Potansiyel müşteriler (form)</t>
        </is>
      </c>
      <c r="I278" s="46" t="n">
        <v>40</v>
      </c>
      <c r="J278" s="46" t="n">
        <v>94047</v>
      </c>
      <c r="K278" s="46" t="n">
        <v>179534</v>
      </c>
    </row>
    <row r="279">
      <c r="A279" s="47" t="inlineStr">
        <is>
          <t>Doruk Hastaneleri</t>
        </is>
      </c>
      <c r="B279" s="47" t="inlineStr">
        <is>
          <t>Gebe-Doğum Form Kampanyası</t>
        </is>
      </c>
      <c r="C279" s="50" t="inlineStr">
        <is>
          <t>2026-07-18</t>
        </is>
      </c>
      <c r="D279" s="47" t="inlineStr">
        <is>
          <t>Hastane (Kurumsal)</t>
        </is>
      </c>
      <c r="E279" s="47" t="inlineStr">
        <is>
          <t>Lead Toplama (Form)</t>
        </is>
      </c>
      <c r="F279" s="47" t="inlineStr">
        <is>
          <t>Lead - Kadın Doğum/Gebe/FTR</t>
        </is>
      </c>
      <c r="G279" s="84" t="n">
        <v>11222.21</v>
      </c>
      <c r="H279" s="47" t="inlineStr">
        <is>
          <t>Potansiyel müşteriler (form)</t>
        </is>
      </c>
      <c r="I279" s="50" t="n">
        <v>24</v>
      </c>
      <c r="J279" s="50" t="n">
        <v>84208</v>
      </c>
      <c r="K279" s="50" t="n">
        <v>162024</v>
      </c>
    </row>
    <row r="280">
      <c r="A280" s="43" t="inlineStr">
        <is>
          <t>Doruk Hastaneleri</t>
        </is>
      </c>
      <c r="B280" s="43" t="inlineStr">
        <is>
          <t>Gebe-Doğum Form Kampanyası</t>
        </is>
      </c>
      <c r="C280" s="46" t="inlineStr">
        <is>
          <t>2026-06-26</t>
        </is>
      </c>
      <c r="D280" s="43" t="inlineStr">
        <is>
          <t>Hastane (Kurumsal)</t>
        </is>
      </c>
      <c r="E280" s="43" t="inlineStr">
        <is>
          <t>Lead Toplama (Form)</t>
        </is>
      </c>
      <c r="F280" s="43" t="inlineStr">
        <is>
          <t>Lead - Kadın Doğum/Gebe/FTR</t>
        </is>
      </c>
      <c r="G280" s="83" t="n">
        <v>10526.57</v>
      </c>
      <c r="H280" s="43" t="inlineStr">
        <is>
          <t>Potansiyel müşteriler (form)</t>
        </is>
      </c>
      <c r="I280" s="46" t="n">
        <v>39</v>
      </c>
      <c r="J280" s="46" t="n">
        <v>83012</v>
      </c>
      <c r="K280" s="46" t="n">
        <v>157150</v>
      </c>
    </row>
    <row r="281">
      <c r="A281" s="47" t="inlineStr">
        <is>
          <t>Doruk Hastaneleri</t>
        </is>
      </c>
      <c r="B281" s="47" t="inlineStr">
        <is>
          <t>Gebe-Doğum Form Kampanyası</t>
        </is>
      </c>
      <c r="C281" s="50" t="inlineStr">
        <is>
          <t>2026-07-10</t>
        </is>
      </c>
      <c r="D281" s="47" t="inlineStr">
        <is>
          <t>Hastane (Kurumsal)</t>
        </is>
      </c>
      <c r="E281" s="47" t="inlineStr">
        <is>
          <t>Lead Toplama (Form)</t>
        </is>
      </c>
      <c r="F281" s="47" t="inlineStr">
        <is>
          <t>Lead - Kadın Doğum/Gebe/FTR</t>
        </is>
      </c>
      <c r="G281" s="84" t="n">
        <v>9658.639999999999</v>
      </c>
      <c r="H281" s="47" t="inlineStr">
        <is>
          <t>Potansiyel müşteriler (form)</t>
        </is>
      </c>
      <c r="I281" s="50" t="n">
        <v>29</v>
      </c>
      <c r="J281" s="50" t="n">
        <v>67639</v>
      </c>
      <c r="K281" s="50" t="n">
        <v>139259</v>
      </c>
    </row>
    <row r="282">
      <c r="A282" s="43" t="inlineStr">
        <is>
          <t>Doruk Hastaneleri</t>
        </is>
      </c>
      <c r="B282" s="43" t="inlineStr">
        <is>
          <t>Gebe-Doğum Form Kampanyası</t>
        </is>
      </c>
      <c r="C282" s="46" t="inlineStr">
        <is>
          <t>2026-07-08</t>
        </is>
      </c>
      <c r="D282" s="43" t="inlineStr">
        <is>
          <t>Hastane (Kurumsal)</t>
        </is>
      </c>
      <c r="E282" s="43" t="inlineStr">
        <is>
          <t>Lead Toplama (Form)</t>
        </is>
      </c>
      <c r="F282" s="43" t="inlineStr">
        <is>
          <t>Lead - Kadın Doğum/Gebe/FTR</t>
        </is>
      </c>
      <c r="G282" s="83" t="n">
        <v>9466.969999999999</v>
      </c>
      <c r="H282" s="43" t="inlineStr">
        <is>
          <t>Potansiyel müşteriler (form)</t>
        </is>
      </c>
      <c r="I282" s="46" t="n">
        <v>23</v>
      </c>
      <c r="J282" s="46" t="n">
        <v>56316</v>
      </c>
      <c r="K282" s="46" t="n">
        <v>122526</v>
      </c>
    </row>
    <row r="283">
      <c r="A283" s="47" t="inlineStr">
        <is>
          <t>Doruk Hastaneleri</t>
        </is>
      </c>
      <c r="B283" s="47" t="inlineStr">
        <is>
          <t>Gebe-Doğum Form Kampanyası</t>
        </is>
      </c>
      <c r="C283" s="50" t="inlineStr">
        <is>
          <t>2026-06-28</t>
        </is>
      </c>
      <c r="D283" s="47" t="inlineStr">
        <is>
          <t>Hastane (Kurumsal)</t>
        </is>
      </c>
      <c r="E283" s="47" t="inlineStr">
        <is>
          <t>Lead Toplama (Form)</t>
        </is>
      </c>
      <c r="F283" s="47" t="inlineStr">
        <is>
          <t>Lead - Kadın Doğum/Gebe/FTR</t>
        </is>
      </c>
      <c r="G283" s="84" t="n">
        <v>8350.65</v>
      </c>
      <c r="H283" s="47" t="inlineStr">
        <is>
          <t>Potansiyel müşteriler (form)</t>
        </is>
      </c>
      <c r="I283" s="50" t="n">
        <v>25</v>
      </c>
      <c r="J283" s="50" t="n">
        <v>55893</v>
      </c>
      <c r="K283" s="50" t="n">
        <v>118406</v>
      </c>
    </row>
    <row r="284">
      <c r="A284" s="43" t="inlineStr">
        <is>
          <t>Doruk Hastaneleri</t>
        </is>
      </c>
      <c r="B284" s="43" t="inlineStr">
        <is>
          <t>Gebe-Doğum Form Kampanyası</t>
        </is>
      </c>
      <c r="C284" s="46" t="inlineStr">
        <is>
          <t>2026-06-23</t>
        </is>
      </c>
      <c r="D284" s="43" t="inlineStr">
        <is>
          <t>Hastane (Kurumsal)</t>
        </is>
      </c>
      <c r="E284" s="43" t="inlineStr">
        <is>
          <t>Lead Toplama (Form)</t>
        </is>
      </c>
      <c r="F284" s="43" t="inlineStr">
        <is>
          <t>Lead - Kadın Doğum/Gebe/FTR</t>
        </is>
      </c>
      <c r="G284" s="83" t="n">
        <v>8294.82</v>
      </c>
      <c r="H284" s="43" t="inlineStr">
        <is>
          <t>Potansiyel müşteriler (form)</t>
        </is>
      </c>
      <c r="I284" s="46" t="n">
        <v>34</v>
      </c>
      <c r="J284" s="46" t="n">
        <v>64083</v>
      </c>
      <c r="K284" s="46" t="n">
        <v>117683</v>
      </c>
    </row>
    <row r="285">
      <c r="A285" s="47" t="inlineStr">
        <is>
          <t>Doruk Hastaneleri</t>
        </is>
      </c>
      <c r="B285" s="47" t="inlineStr">
        <is>
          <t>Gebe-Doğum Form Kampanyası</t>
        </is>
      </c>
      <c r="C285" s="50" t="inlineStr">
        <is>
          <t>2026-07-16</t>
        </is>
      </c>
      <c r="D285" s="47" t="inlineStr">
        <is>
          <t>Hastane (Kurumsal)</t>
        </is>
      </c>
      <c r="E285" s="47" t="inlineStr">
        <is>
          <t>Lead Toplama (Form)</t>
        </is>
      </c>
      <c r="F285" s="47" t="inlineStr">
        <is>
          <t>Lead - Kadın Doğum/Gebe/FTR</t>
        </is>
      </c>
      <c r="G285" s="84" t="n">
        <v>7997.32</v>
      </c>
      <c r="H285" s="47" t="inlineStr">
        <is>
          <t>Potansiyel müşteriler (form)</t>
        </is>
      </c>
      <c r="I285" s="50" t="n">
        <v>25</v>
      </c>
      <c r="J285" s="50" t="n">
        <v>56083</v>
      </c>
      <c r="K285" s="50" t="n">
        <v>118188</v>
      </c>
    </row>
    <row r="286">
      <c r="A286" s="43" t="inlineStr">
        <is>
          <t>Doruk Hastaneleri</t>
        </is>
      </c>
      <c r="B286" s="43" t="inlineStr">
        <is>
          <t>Gebe-Doğum Form Kampanyası</t>
        </is>
      </c>
      <c r="C286" s="46" t="inlineStr">
        <is>
          <t>2026-07-13</t>
        </is>
      </c>
      <c r="D286" s="43" t="inlineStr">
        <is>
          <t>Hastane (Kurumsal)</t>
        </is>
      </c>
      <c r="E286" s="43" t="inlineStr">
        <is>
          <t>Lead Toplama (Form)</t>
        </is>
      </c>
      <c r="F286" s="43" t="inlineStr">
        <is>
          <t>Lead - Kadın Doğum/Gebe/FTR</t>
        </is>
      </c>
      <c r="G286" s="83" t="n">
        <v>7870.08</v>
      </c>
      <c r="H286" s="43" t="inlineStr">
        <is>
          <t>Potansiyel müşteriler (form)</t>
        </is>
      </c>
      <c r="I286" s="46" t="n">
        <v>35</v>
      </c>
      <c r="J286" s="46" t="n">
        <v>51044</v>
      </c>
      <c r="K286" s="46" t="n">
        <v>114393</v>
      </c>
    </row>
    <row r="287">
      <c r="A287" s="47" t="inlineStr">
        <is>
          <t>Doruk Hastaneleri</t>
        </is>
      </c>
      <c r="B287" s="47" t="inlineStr">
        <is>
          <t>Gebe-Doğum Form Kampanyası</t>
        </is>
      </c>
      <c r="C287" s="50" t="inlineStr">
        <is>
          <t>2026-07-01</t>
        </is>
      </c>
      <c r="D287" s="47" t="inlineStr">
        <is>
          <t>Hastane (Kurumsal)</t>
        </is>
      </c>
      <c r="E287" s="47" t="inlineStr">
        <is>
          <t>Lead Toplama (Form)</t>
        </is>
      </c>
      <c r="F287" s="47" t="inlineStr">
        <is>
          <t>Lead - Kadın Doğum/Gebe/FTR</t>
        </is>
      </c>
      <c r="G287" s="84" t="n">
        <v>7466.22</v>
      </c>
      <c r="H287" s="47" t="inlineStr">
        <is>
          <t>Potansiyel müşteriler (form)</t>
        </is>
      </c>
      <c r="I287" s="50" t="n">
        <v>36</v>
      </c>
      <c r="J287" s="50" t="n">
        <v>47906</v>
      </c>
      <c r="K287" s="50" t="n">
        <v>108208</v>
      </c>
    </row>
    <row r="288">
      <c r="A288" s="43" t="inlineStr">
        <is>
          <t>Doruk Hastaneleri</t>
        </is>
      </c>
      <c r="B288" s="43" t="inlineStr">
        <is>
          <t>Gebe-Doğum Form Kampanyası</t>
        </is>
      </c>
      <c r="C288" s="46" t="inlineStr">
        <is>
          <t>2026-07-15</t>
        </is>
      </c>
      <c r="D288" s="43" t="inlineStr">
        <is>
          <t>Hastane (Kurumsal)</t>
        </is>
      </c>
      <c r="E288" s="43" t="inlineStr">
        <is>
          <t>Lead Toplama (Form)</t>
        </is>
      </c>
      <c r="F288" s="43" t="inlineStr">
        <is>
          <t>Lead - Kadın Doğum/Gebe/FTR</t>
        </is>
      </c>
      <c r="G288" s="83" t="n">
        <v>7345.32</v>
      </c>
      <c r="H288" s="43" t="inlineStr">
        <is>
          <t>Potansiyel müşteriler (form)</t>
        </is>
      </c>
      <c r="I288" s="46" t="n">
        <v>20</v>
      </c>
      <c r="J288" s="46" t="n">
        <v>51280</v>
      </c>
      <c r="K288" s="46" t="n">
        <v>103249</v>
      </c>
    </row>
    <row r="289">
      <c r="A289" s="47" t="inlineStr">
        <is>
          <t>Doruk Hastaneleri</t>
        </is>
      </c>
      <c r="B289" s="47" t="inlineStr">
        <is>
          <t>Gebe-Doğum Form Kampanyası</t>
        </is>
      </c>
      <c r="C289" s="50" t="inlineStr">
        <is>
          <t>2026-07-17</t>
        </is>
      </c>
      <c r="D289" s="47" t="inlineStr">
        <is>
          <t>Hastane (Kurumsal)</t>
        </is>
      </c>
      <c r="E289" s="47" t="inlineStr">
        <is>
          <t>Lead Toplama (Form)</t>
        </is>
      </c>
      <c r="F289" s="47" t="inlineStr">
        <is>
          <t>Lead - Kadın Doğum/Gebe/FTR</t>
        </is>
      </c>
      <c r="G289" s="84" t="n">
        <v>7118.94</v>
      </c>
      <c r="H289" s="47" t="inlineStr">
        <is>
          <t>Potansiyel müşteriler (form)</t>
        </is>
      </c>
      <c r="I289" s="50" t="n">
        <v>16</v>
      </c>
      <c r="J289" s="50" t="n">
        <v>53889</v>
      </c>
      <c r="K289" s="50" t="n">
        <v>97013</v>
      </c>
    </row>
    <row r="290">
      <c r="A290" s="43" t="inlineStr">
        <is>
          <t>Doruk Hastaneleri</t>
        </is>
      </c>
      <c r="B290" s="43" t="inlineStr">
        <is>
          <t>Gebe-Doğum Form Kampanyası</t>
        </is>
      </c>
      <c r="C290" s="46" t="inlineStr">
        <is>
          <t>2026-07-03</t>
        </is>
      </c>
      <c r="D290" s="43" t="inlineStr">
        <is>
          <t>Hastane (Kurumsal)</t>
        </is>
      </c>
      <c r="E290" s="43" t="inlineStr">
        <is>
          <t>Lead Toplama (Form)</t>
        </is>
      </c>
      <c r="F290" s="43" t="inlineStr">
        <is>
          <t>Lead - Kadın Doğum/Gebe/FTR</t>
        </is>
      </c>
      <c r="G290" s="83" t="n">
        <v>7103.4</v>
      </c>
      <c r="H290" s="43" t="inlineStr">
        <is>
          <t>Potansiyel müşteriler (form)</t>
        </is>
      </c>
      <c r="I290" s="46" t="n">
        <v>17</v>
      </c>
      <c r="J290" s="46" t="n">
        <v>48021</v>
      </c>
      <c r="K290" s="46" t="n">
        <v>107408</v>
      </c>
    </row>
    <row r="291">
      <c r="A291" s="47" t="inlineStr">
        <is>
          <t>Doruk Hastaneleri</t>
        </is>
      </c>
      <c r="B291" s="47" t="inlineStr">
        <is>
          <t>Gebe-Doğum Form Kampanyası</t>
        </is>
      </c>
      <c r="C291" s="50" t="inlineStr">
        <is>
          <t>2026-07-04</t>
        </is>
      </c>
      <c r="D291" s="47" t="inlineStr">
        <is>
          <t>Hastane (Kurumsal)</t>
        </is>
      </c>
      <c r="E291" s="47" t="inlineStr">
        <is>
          <t>Lead Toplama (Form)</t>
        </is>
      </c>
      <c r="F291" s="47" t="inlineStr">
        <is>
          <t>Lead - Kadın Doğum/Gebe/FTR</t>
        </is>
      </c>
      <c r="G291" s="84" t="n">
        <v>7026.3</v>
      </c>
      <c r="H291" s="47" t="inlineStr">
        <is>
          <t>Potansiyel müşteriler (form)</t>
        </is>
      </c>
      <c r="I291" s="50" t="n">
        <v>17</v>
      </c>
      <c r="J291" s="50" t="n">
        <v>59868</v>
      </c>
      <c r="K291" s="50" t="n">
        <v>111784</v>
      </c>
    </row>
    <row r="292">
      <c r="A292" s="43" t="inlineStr">
        <is>
          <t>Doruk Hastaneleri</t>
        </is>
      </c>
      <c r="B292" s="43" t="inlineStr">
        <is>
          <t>FTR Yatılı - lead</t>
        </is>
      </c>
      <c r="C292" s="46" t="inlineStr">
        <is>
          <t>2026-06-27</t>
        </is>
      </c>
      <c r="D292" s="43" t="inlineStr">
        <is>
          <t>Hastane (Kurumsal)</t>
        </is>
      </c>
      <c r="E292" s="43" t="inlineStr">
        <is>
          <t>Lead Toplama (Form)</t>
        </is>
      </c>
      <c r="F292" s="43" t="inlineStr">
        <is>
          <t>Lead - Kadın Doğum/Gebe/FTR</t>
        </is>
      </c>
      <c r="G292" s="83" t="n">
        <v>6907.49</v>
      </c>
      <c r="H292" s="43" t="inlineStr">
        <is>
          <t>Potansiyel müşteriler (form)</t>
        </is>
      </c>
      <c r="I292" s="46" t="n">
        <v>13</v>
      </c>
      <c r="J292" s="46" t="n">
        <v>63831</v>
      </c>
      <c r="K292" s="46" t="n">
        <v>74051</v>
      </c>
    </row>
    <row r="293">
      <c r="A293" s="47" t="inlineStr">
        <is>
          <t>Doruk Hastaneleri</t>
        </is>
      </c>
      <c r="B293" s="47" t="inlineStr">
        <is>
          <t>Gebe-Doğum Form Kampanyası</t>
        </is>
      </c>
      <c r="C293" s="50" t="inlineStr">
        <is>
          <t>2026-07-02</t>
        </is>
      </c>
      <c r="D293" s="47" t="inlineStr">
        <is>
          <t>Hastane (Kurumsal)</t>
        </is>
      </c>
      <c r="E293" s="47" t="inlineStr">
        <is>
          <t>Lead Toplama (Form)</t>
        </is>
      </c>
      <c r="F293" s="47" t="inlineStr">
        <is>
          <t>Lead - Kadın Doğum/Gebe/FTR</t>
        </is>
      </c>
      <c r="G293" s="84" t="n">
        <v>6824.15</v>
      </c>
      <c r="H293" s="47" t="inlineStr">
        <is>
          <t>Potansiyel müşteriler (form)</t>
        </is>
      </c>
      <c r="I293" s="50" t="n">
        <v>29</v>
      </c>
      <c r="J293" s="50" t="n">
        <v>49795</v>
      </c>
      <c r="K293" s="50" t="n">
        <v>108281</v>
      </c>
    </row>
    <row r="294">
      <c r="A294" s="43" t="inlineStr">
        <is>
          <t>Doruk Hastaneleri</t>
        </is>
      </c>
      <c r="B294" s="43" t="inlineStr">
        <is>
          <t>FTR Yatılı - lead</t>
        </is>
      </c>
      <c r="C294" s="46" t="inlineStr">
        <is>
          <t>2026-07-18</t>
        </is>
      </c>
      <c r="D294" s="43" t="inlineStr">
        <is>
          <t>Hastane (Kurumsal)</t>
        </is>
      </c>
      <c r="E294" s="43" t="inlineStr">
        <is>
          <t>Lead Toplama (Form)</t>
        </is>
      </c>
      <c r="F294" s="43" t="inlineStr">
        <is>
          <t>Lead - Kadın Doğum/Gebe/FTR</t>
        </is>
      </c>
      <c r="G294" s="83" t="n">
        <v>6637.99</v>
      </c>
      <c r="H294" s="43" t="inlineStr">
        <is>
          <t>Potansiyel müşteriler (form)</t>
        </is>
      </c>
      <c r="I294" s="46" t="n">
        <v>6</v>
      </c>
      <c r="J294" s="46" t="n">
        <v>81324</v>
      </c>
      <c r="K294" s="46" t="n">
        <v>92618</v>
      </c>
    </row>
    <row r="295">
      <c r="A295" s="47" t="inlineStr">
        <is>
          <t>Doruk Hastaneleri</t>
        </is>
      </c>
      <c r="B295" s="47" t="inlineStr">
        <is>
          <t>Gebe-Doğum Form Kampanyası</t>
        </is>
      </c>
      <c r="C295" s="50" t="inlineStr">
        <is>
          <t>2026-07-20</t>
        </is>
      </c>
      <c r="D295" s="47" t="inlineStr">
        <is>
          <t>Hastane (Kurumsal)</t>
        </is>
      </c>
      <c r="E295" s="47" t="inlineStr">
        <is>
          <t>Lead Toplama (Form)</t>
        </is>
      </c>
      <c r="F295" s="47" t="inlineStr">
        <is>
          <t>Lead - Kadın Doğum/Gebe/FTR</t>
        </is>
      </c>
      <c r="G295" s="84" t="n">
        <v>6449.66</v>
      </c>
      <c r="H295" s="47" t="inlineStr">
        <is>
          <t>Potansiyel müşteriler (form)</t>
        </is>
      </c>
      <c r="I295" s="50" t="n">
        <v>17</v>
      </c>
      <c r="J295" s="50" t="n">
        <v>40986</v>
      </c>
      <c r="K295" s="50" t="n">
        <v>85937</v>
      </c>
    </row>
    <row r="296">
      <c r="A296" s="43" t="inlineStr">
        <is>
          <t>Doruk Hastaneleri</t>
        </is>
      </c>
      <c r="B296" s="43" t="inlineStr">
        <is>
          <t>Gebe-Doğum Form Kampanyası</t>
        </is>
      </c>
      <c r="C296" s="46" t="inlineStr">
        <is>
          <t>2026-06-30</t>
        </is>
      </c>
      <c r="D296" s="43" t="inlineStr">
        <is>
          <t>Hastane (Kurumsal)</t>
        </is>
      </c>
      <c r="E296" s="43" t="inlineStr">
        <is>
          <t>Lead Toplama (Form)</t>
        </is>
      </c>
      <c r="F296" s="43" t="inlineStr">
        <is>
          <t>Lead - Kadın Doğum/Gebe/FTR</t>
        </is>
      </c>
      <c r="G296" s="83" t="n">
        <v>6429.62</v>
      </c>
      <c r="H296" s="43" t="inlineStr">
        <is>
          <t>Potansiyel müşteriler (form)</t>
        </is>
      </c>
      <c r="I296" s="46" t="n">
        <v>33</v>
      </c>
      <c r="J296" s="46" t="n">
        <v>41947</v>
      </c>
      <c r="K296" s="46" t="n">
        <v>92176</v>
      </c>
    </row>
    <row r="297">
      <c r="A297" s="47" t="inlineStr">
        <is>
          <t>Doruk Hastaneleri</t>
        </is>
      </c>
      <c r="B297" s="47" t="inlineStr">
        <is>
          <t>Gebe-Doğum Form Kampanyası</t>
        </is>
      </c>
      <c r="C297" s="50" t="inlineStr">
        <is>
          <t>2026-06-24</t>
        </is>
      </c>
      <c r="D297" s="47" t="inlineStr">
        <is>
          <t>Hastane (Kurumsal)</t>
        </is>
      </c>
      <c r="E297" s="47" t="inlineStr">
        <is>
          <t>Lead Toplama (Form)</t>
        </is>
      </c>
      <c r="F297" s="47" t="inlineStr">
        <is>
          <t>Lead - Kadın Doğum/Gebe/FTR</t>
        </is>
      </c>
      <c r="G297" s="84" t="n">
        <v>6373.47</v>
      </c>
      <c r="H297" s="47" t="inlineStr">
        <is>
          <t>Potansiyel müşteriler (form)</t>
        </is>
      </c>
      <c r="I297" s="50" t="n">
        <v>20</v>
      </c>
      <c r="J297" s="50" t="n">
        <v>59853</v>
      </c>
      <c r="K297" s="50" t="n">
        <v>98462</v>
      </c>
    </row>
    <row r="298">
      <c r="A298" s="43" t="inlineStr">
        <is>
          <t>Doruk Hastaneleri</t>
        </is>
      </c>
      <c r="B298" s="43" t="inlineStr">
        <is>
          <t>Gebe-Doğum Form Kampanyası</t>
        </is>
      </c>
      <c r="C298" s="46" t="inlineStr">
        <is>
          <t>2026-07-09</t>
        </is>
      </c>
      <c r="D298" s="43" t="inlineStr">
        <is>
          <t>Hastane (Kurumsal)</t>
        </is>
      </c>
      <c r="E298" s="43" t="inlineStr">
        <is>
          <t>Lead Toplama (Form)</t>
        </is>
      </c>
      <c r="F298" s="43" t="inlineStr">
        <is>
          <t>Lead - Kadın Doğum/Gebe/FTR</t>
        </is>
      </c>
      <c r="G298" s="83" t="n">
        <v>6009.94</v>
      </c>
      <c r="H298" s="43" t="inlineStr">
        <is>
          <t>Potansiyel müşteriler (form)</t>
        </is>
      </c>
      <c r="I298" s="46" t="n">
        <v>12</v>
      </c>
      <c r="J298" s="46" t="n">
        <v>41083</v>
      </c>
      <c r="K298" s="46" t="n">
        <v>72482</v>
      </c>
    </row>
    <row r="299">
      <c r="A299" s="47" t="inlineStr">
        <is>
          <t>Doruk Hastaneleri</t>
        </is>
      </c>
      <c r="B299" s="47" t="inlineStr">
        <is>
          <t>Gebe-Doğum Form Kampanyası</t>
        </is>
      </c>
      <c r="C299" s="50" t="inlineStr">
        <is>
          <t>2026-06-29</t>
        </is>
      </c>
      <c r="D299" s="47" t="inlineStr">
        <is>
          <t>Hastane (Kurumsal)</t>
        </is>
      </c>
      <c r="E299" s="47" t="inlineStr">
        <is>
          <t>Lead Toplama (Form)</t>
        </is>
      </c>
      <c r="F299" s="47" t="inlineStr">
        <is>
          <t>Lead - Kadın Doğum/Gebe/FTR</t>
        </is>
      </c>
      <c r="G299" s="84" t="n">
        <v>5744.61</v>
      </c>
      <c r="H299" s="47" t="inlineStr">
        <is>
          <t>Potansiyel müşteriler (form)</t>
        </is>
      </c>
      <c r="I299" s="50" t="n">
        <v>17</v>
      </c>
      <c r="J299" s="50" t="n">
        <v>44695</v>
      </c>
      <c r="K299" s="50" t="n">
        <v>92058</v>
      </c>
    </row>
    <row r="300">
      <c r="A300" s="43" t="inlineStr">
        <is>
          <t>Doruk Hastaneleri</t>
        </is>
      </c>
      <c r="B300" s="43" t="inlineStr">
        <is>
          <t>FTR Yatılı - lead</t>
        </is>
      </c>
      <c r="C300" s="46" t="inlineStr">
        <is>
          <t>2026-07-10</t>
        </is>
      </c>
      <c r="D300" s="43" t="inlineStr">
        <is>
          <t>Hastane (Kurumsal)</t>
        </is>
      </c>
      <c r="E300" s="43" t="inlineStr">
        <is>
          <t>Lead Toplama (Form)</t>
        </is>
      </c>
      <c r="F300" s="43" t="inlineStr">
        <is>
          <t>Lead - Kadın Doğum/Gebe/FTR</t>
        </is>
      </c>
      <c r="G300" s="83" t="n">
        <v>5538.54</v>
      </c>
      <c r="H300" s="43" t="inlineStr">
        <is>
          <t>Potansiyel müşteriler (form)</t>
        </is>
      </c>
      <c r="I300" s="46" t="n">
        <v>5</v>
      </c>
      <c r="J300" s="46" t="n">
        <v>66157</v>
      </c>
      <c r="K300" s="46" t="n">
        <v>72811</v>
      </c>
    </row>
    <row r="301">
      <c r="A301" s="47" t="inlineStr">
        <is>
          <t>Doruk Hastaneleri</t>
        </is>
      </c>
      <c r="B301" s="47" t="inlineStr">
        <is>
          <t>FTR Yatılı - lead</t>
        </is>
      </c>
      <c r="C301" s="50" t="inlineStr">
        <is>
          <t>2026-06-26</t>
        </is>
      </c>
      <c r="D301" s="47" t="inlineStr">
        <is>
          <t>Hastane (Kurumsal)</t>
        </is>
      </c>
      <c r="E301" s="47" t="inlineStr">
        <is>
          <t>Lead Toplama (Form)</t>
        </is>
      </c>
      <c r="F301" s="47" t="inlineStr">
        <is>
          <t>Lead - Kadın Doğum/Gebe/FTR</t>
        </is>
      </c>
      <c r="G301" s="84" t="n">
        <v>5224.49</v>
      </c>
      <c r="H301" s="47" t="inlineStr">
        <is>
          <t>Potansiyel müşteriler (form)</t>
        </is>
      </c>
      <c r="I301" s="50" t="n">
        <v>3</v>
      </c>
      <c r="J301" s="50" t="n">
        <v>52230</v>
      </c>
      <c r="K301" s="50" t="n">
        <v>61177</v>
      </c>
    </row>
    <row r="302">
      <c r="A302" s="43" t="inlineStr">
        <is>
          <t>Doruk Hastaneleri</t>
        </is>
      </c>
      <c r="B302" s="43" t="inlineStr">
        <is>
          <t>FTR Yatılı - lead</t>
        </is>
      </c>
      <c r="C302" s="46" t="inlineStr">
        <is>
          <t>2026-07-01</t>
        </is>
      </c>
      <c r="D302" s="43" t="inlineStr">
        <is>
          <t>Hastane (Kurumsal)</t>
        </is>
      </c>
      <c r="E302" s="43" t="inlineStr">
        <is>
          <t>Lead Toplama (Form)</t>
        </is>
      </c>
      <c r="F302" s="43" t="inlineStr">
        <is>
          <t>Lead - Kadın Doğum/Gebe/FTR</t>
        </is>
      </c>
      <c r="G302" s="83" t="n">
        <v>4907.6</v>
      </c>
      <c r="H302" s="43" t="inlineStr">
        <is>
          <t>Potansiyel müşteriler (form)</t>
        </is>
      </c>
      <c r="I302" s="46" t="n">
        <v>8</v>
      </c>
      <c r="J302" s="46" t="n">
        <v>52378</v>
      </c>
      <c r="K302" s="46" t="n">
        <v>63228</v>
      </c>
    </row>
    <row r="303">
      <c r="A303" s="47" t="inlineStr">
        <is>
          <t>Doruk Hastaneleri</t>
        </is>
      </c>
      <c r="B303" s="47" t="inlineStr">
        <is>
          <t>FTR Yatılı - lead</t>
        </is>
      </c>
      <c r="C303" s="50" t="inlineStr">
        <is>
          <t>2026-06-23</t>
        </is>
      </c>
      <c r="D303" s="47" t="inlineStr">
        <is>
          <t>Hastane (Kurumsal)</t>
        </is>
      </c>
      <c r="E303" s="47" t="inlineStr">
        <is>
          <t>Lead Toplama (Form)</t>
        </is>
      </c>
      <c r="F303" s="47" t="inlineStr">
        <is>
          <t>Lead - Kadın Doğum/Gebe/FTR</t>
        </is>
      </c>
      <c r="G303" s="84" t="n">
        <v>4815.9</v>
      </c>
      <c r="H303" s="47" t="inlineStr">
        <is>
          <t>Potansiyel müşteriler (form)</t>
        </is>
      </c>
      <c r="I303" s="50" t="n">
        <v>3</v>
      </c>
      <c r="J303" s="50" t="n">
        <v>31207</v>
      </c>
      <c r="K303" s="50" t="n">
        <v>38942</v>
      </c>
    </row>
    <row r="304">
      <c r="A304" s="43" t="inlineStr">
        <is>
          <t>Doruk Hastaneleri</t>
        </is>
      </c>
      <c r="B304" s="43" t="inlineStr">
        <is>
          <t>FTR Yatılı - lead</t>
        </is>
      </c>
      <c r="C304" s="46" t="inlineStr">
        <is>
          <t>2026-07-16</t>
        </is>
      </c>
      <c r="D304" s="43" t="inlineStr">
        <is>
          <t>Hastane (Kurumsal)</t>
        </is>
      </c>
      <c r="E304" s="43" t="inlineStr">
        <is>
          <t>Lead Toplama (Form)</t>
        </is>
      </c>
      <c r="F304" s="43" t="inlineStr">
        <is>
          <t>Lead - Kadın Doğum/Gebe/FTR</t>
        </is>
      </c>
      <c r="G304" s="83" t="n">
        <v>4714.77</v>
      </c>
      <c r="H304" s="43" t="inlineStr">
        <is>
          <t>Potansiyel müşteriler (form)</t>
        </is>
      </c>
      <c r="I304" s="46" t="n">
        <v>6</v>
      </c>
      <c r="J304" s="46" t="n">
        <v>62297</v>
      </c>
      <c r="K304" s="46" t="n">
        <v>71250</v>
      </c>
    </row>
    <row r="305">
      <c r="A305" s="47" t="inlineStr">
        <is>
          <t>Doruk Hastaneleri</t>
        </is>
      </c>
      <c r="B305" s="47" t="inlineStr">
        <is>
          <t>FTR Yatılı - lead</t>
        </is>
      </c>
      <c r="C305" s="50" t="inlineStr">
        <is>
          <t>2026-06-28</t>
        </is>
      </c>
      <c r="D305" s="47" t="inlineStr">
        <is>
          <t>Hastane (Kurumsal)</t>
        </is>
      </c>
      <c r="E305" s="47" t="inlineStr">
        <is>
          <t>Lead Toplama (Form)</t>
        </is>
      </c>
      <c r="F305" s="47" t="inlineStr">
        <is>
          <t>Lead - Kadın Doğum/Gebe/FTR</t>
        </is>
      </c>
      <c r="G305" s="84" t="n">
        <v>4677.51</v>
      </c>
      <c r="H305" s="47" t="inlineStr">
        <is>
          <t>Potansiyel müşteriler (form)</t>
        </is>
      </c>
      <c r="I305" s="50" t="n">
        <v>10</v>
      </c>
      <c r="J305" s="50" t="n">
        <v>46849</v>
      </c>
      <c r="K305" s="50" t="n">
        <v>56226</v>
      </c>
    </row>
    <row r="306">
      <c r="A306" s="43" t="inlineStr">
        <is>
          <t>Doruk Hastaneleri</t>
        </is>
      </c>
      <c r="B306" s="43" t="inlineStr">
        <is>
          <t>Gebe-Doğum Form Kampanyası</t>
        </is>
      </c>
      <c r="C306" s="46" t="inlineStr">
        <is>
          <t>2026-07-22</t>
        </is>
      </c>
      <c r="D306" s="43" t="inlineStr">
        <is>
          <t>Hastane (Kurumsal)</t>
        </is>
      </c>
      <c r="E306" s="43" t="inlineStr">
        <is>
          <t>Lead Toplama (Form)</t>
        </is>
      </c>
      <c r="F306" s="43" t="inlineStr">
        <is>
          <t>Lead - Kadın Doğum/Gebe/FTR</t>
        </is>
      </c>
      <c r="G306" s="83" t="n">
        <v>4621.13</v>
      </c>
      <c r="H306" s="43" t="inlineStr">
        <is>
          <t>Potansiyel müşteriler (form)</t>
        </is>
      </c>
      <c r="I306" s="46" t="n">
        <v>16</v>
      </c>
      <c r="J306" s="46" t="n">
        <v>32781</v>
      </c>
      <c r="K306" s="46" t="n">
        <v>60596</v>
      </c>
    </row>
    <row r="307">
      <c r="A307" s="47" t="inlineStr">
        <is>
          <t>Doruk Hastaneleri</t>
        </is>
      </c>
      <c r="B307" s="47" t="inlineStr">
        <is>
          <t>FTR Yatılı - lead</t>
        </is>
      </c>
      <c r="C307" s="50" t="inlineStr">
        <is>
          <t>2026-07-13</t>
        </is>
      </c>
      <c r="D307" s="47" t="inlineStr">
        <is>
          <t>Hastane (Kurumsal)</t>
        </is>
      </c>
      <c r="E307" s="47" t="inlineStr">
        <is>
          <t>Lead Toplama (Form)</t>
        </is>
      </c>
      <c r="F307" s="47" t="inlineStr">
        <is>
          <t>Lead - Kadın Doğum/Gebe/FTR</t>
        </is>
      </c>
      <c r="G307" s="84" t="n">
        <v>4366.16</v>
      </c>
      <c r="H307" s="47" t="inlineStr">
        <is>
          <t>Potansiyel müşteriler (form)</t>
        </is>
      </c>
      <c r="I307" s="50" t="n">
        <v>4</v>
      </c>
      <c r="J307" s="50" t="n">
        <v>43111</v>
      </c>
      <c r="K307" s="50" t="n">
        <v>50551</v>
      </c>
    </row>
    <row r="308">
      <c r="A308" s="43" t="inlineStr">
        <is>
          <t>Doruk Hastaneleri</t>
        </is>
      </c>
      <c r="B308" s="43" t="inlineStr">
        <is>
          <t>FTR Yatılı - lead</t>
        </is>
      </c>
      <c r="C308" s="46" t="inlineStr">
        <is>
          <t>2026-07-08</t>
        </is>
      </c>
      <c r="D308" s="43" t="inlineStr">
        <is>
          <t>Hastane (Kurumsal)</t>
        </is>
      </c>
      <c r="E308" s="43" t="inlineStr">
        <is>
          <t>Lead Toplama (Form)</t>
        </is>
      </c>
      <c r="F308" s="43" t="inlineStr">
        <is>
          <t>Lead - Kadın Doğum/Gebe/FTR</t>
        </is>
      </c>
      <c r="G308" s="83" t="n">
        <v>4292.11</v>
      </c>
      <c r="H308" s="43" t="inlineStr">
        <is>
          <t>Potansiyel müşteriler (form)</t>
        </is>
      </c>
      <c r="I308" s="46" t="n">
        <v>9</v>
      </c>
      <c r="J308" s="46" t="n">
        <v>44459</v>
      </c>
      <c r="K308" s="46" t="n">
        <v>51686</v>
      </c>
    </row>
    <row r="309">
      <c r="A309" s="47" t="inlineStr">
        <is>
          <t>Doruk Hastaneleri</t>
        </is>
      </c>
      <c r="B309" s="47" t="inlineStr">
        <is>
          <t>FTR Yatılı - lead</t>
        </is>
      </c>
      <c r="C309" s="50" t="inlineStr">
        <is>
          <t>2026-07-03</t>
        </is>
      </c>
      <c r="D309" s="47" t="inlineStr">
        <is>
          <t>Hastane (Kurumsal)</t>
        </is>
      </c>
      <c r="E309" s="47" t="inlineStr">
        <is>
          <t>Lead Toplama (Form)</t>
        </is>
      </c>
      <c r="F309" s="47" t="inlineStr">
        <is>
          <t>Lead - Kadın Doğum/Gebe/FTR</t>
        </is>
      </c>
      <c r="G309" s="84" t="n">
        <v>4262.86</v>
      </c>
      <c r="H309" s="47" t="inlineStr">
        <is>
          <t>Potansiyel müşteriler (form)</t>
        </is>
      </c>
      <c r="I309" s="50" t="n">
        <v>8</v>
      </c>
      <c r="J309" s="50" t="n">
        <v>37495</v>
      </c>
      <c r="K309" s="50" t="n">
        <v>44050</v>
      </c>
    </row>
    <row r="310">
      <c r="A310" s="43" t="inlineStr">
        <is>
          <t>Doruk Hastaneleri</t>
        </is>
      </c>
      <c r="B310" s="43" t="inlineStr">
        <is>
          <t>FTR Yatılı - lead</t>
        </is>
      </c>
      <c r="C310" s="46" t="inlineStr">
        <is>
          <t>2026-07-02</t>
        </is>
      </c>
      <c r="D310" s="43" t="inlineStr">
        <is>
          <t>Hastane (Kurumsal)</t>
        </is>
      </c>
      <c r="E310" s="43" t="inlineStr">
        <is>
          <t>Lead Toplama (Form)</t>
        </is>
      </c>
      <c r="F310" s="43" t="inlineStr">
        <is>
          <t>Lead - Kadın Doğum/Gebe/FTR</t>
        </is>
      </c>
      <c r="G310" s="83" t="n">
        <v>4050.22</v>
      </c>
      <c r="H310" s="43" t="inlineStr">
        <is>
          <t>Potansiyel müşteriler (form)</t>
        </is>
      </c>
      <c r="I310" s="46" t="n">
        <v>9</v>
      </c>
      <c r="J310" s="46" t="n">
        <v>40707</v>
      </c>
      <c r="K310" s="46" t="n">
        <v>48261</v>
      </c>
    </row>
    <row r="311">
      <c r="A311" s="47" t="inlineStr">
        <is>
          <t>Doruk Hastaneleri</t>
        </is>
      </c>
      <c r="B311" s="47" t="inlineStr">
        <is>
          <t>FTR Yatılı - lead</t>
        </is>
      </c>
      <c r="C311" s="50" t="inlineStr">
        <is>
          <t>2026-07-15</t>
        </is>
      </c>
      <c r="D311" s="47" t="inlineStr">
        <is>
          <t>Hastane (Kurumsal)</t>
        </is>
      </c>
      <c r="E311" s="47" t="inlineStr">
        <is>
          <t>Lead Toplama (Form)</t>
        </is>
      </c>
      <c r="F311" s="47" t="inlineStr">
        <is>
          <t>Lead - Kadın Doğum/Gebe/FTR</t>
        </is>
      </c>
      <c r="G311" s="84" t="n">
        <v>3886.2</v>
      </c>
      <c r="H311" s="47" t="inlineStr">
        <is>
          <t>Potansiyel müşteriler (form)</t>
        </is>
      </c>
      <c r="I311" s="50" t="n">
        <v>3</v>
      </c>
      <c r="J311" s="50" t="n">
        <v>39152</v>
      </c>
      <c r="K311" s="50" t="n">
        <v>45206</v>
      </c>
    </row>
    <row r="312">
      <c r="A312" s="43" t="inlineStr">
        <is>
          <t>Doruk Hastaneleri</t>
        </is>
      </c>
      <c r="B312" s="43" t="inlineStr">
        <is>
          <t>FTR Yatılı - lead</t>
        </is>
      </c>
      <c r="C312" s="46" t="inlineStr">
        <is>
          <t>2026-07-20</t>
        </is>
      </c>
      <c r="D312" s="43" t="inlineStr">
        <is>
          <t>Hastane (Kurumsal)</t>
        </is>
      </c>
      <c r="E312" s="43" t="inlineStr">
        <is>
          <t>Lead Toplama (Form)</t>
        </is>
      </c>
      <c r="F312" s="43" t="inlineStr">
        <is>
          <t>Lead - Kadın Doğum/Gebe/FTR</t>
        </is>
      </c>
      <c r="G312" s="83" t="n">
        <v>3773.89</v>
      </c>
      <c r="H312" s="43" t="inlineStr">
        <is>
          <t>Potansiyel müşteriler (form)</t>
        </is>
      </c>
      <c r="I312" s="46" t="n">
        <v>8</v>
      </c>
      <c r="J312" s="46" t="n">
        <v>38018</v>
      </c>
      <c r="K312" s="46" t="n">
        <v>45044</v>
      </c>
    </row>
    <row r="313">
      <c r="A313" s="47" t="inlineStr">
        <is>
          <t>Doruk Hastaneleri</t>
        </is>
      </c>
      <c r="B313" s="47" t="inlineStr">
        <is>
          <t>FTR Yatılı - lead</t>
        </is>
      </c>
      <c r="C313" s="50" t="inlineStr">
        <is>
          <t>2026-06-30</t>
        </is>
      </c>
      <c r="D313" s="47" t="inlineStr">
        <is>
          <t>Hastane (Kurumsal)</t>
        </is>
      </c>
      <c r="E313" s="47" t="inlineStr">
        <is>
          <t>Lead Toplama (Form)</t>
        </is>
      </c>
      <c r="F313" s="47" t="inlineStr">
        <is>
          <t>Lead - Kadın Doğum/Gebe/FTR</t>
        </is>
      </c>
      <c r="G313" s="84" t="n">
        <v>3733.67</v>
      </c>
      <c r="H313" s="47" t="inlineStr">
        <is>
          <t>Potansiyel müşteriler (form)</t>
        </is>
      </c>
      <c r="I313" s="50" t="n">
        <v>9</v>
      </c>
      <c r="J313" s="50" t="n">
        <v>40232</v>
      </c>
      <c r="K313" s="50" t="n">
        <v>45686</v>
      </c>
    </row>
    <row r="314">
      <c r="A314" s="43" t="inlineStr">
        <is>
          <t>Doruk Hastaneleri</t>
        </is>
      </c>
      <c r="B314" s="43" t="inlineStr">
        <is>
          <t>FTR Yatılı - lead</t>
        </is>
      </c>
      <c r="C314" s="46" t="inlineStr">
        <is>
          <t>2026-07-17</t>
        </is>
      </c>
      <c r="D314" s="43" t="inlineStr">
        <is>
          <t>Hastane (Kurumsal)</t>
        </is>
      </c>
      <c r="E314" s="43" t="inlineStr">
        <is>
          <t>Lead Toplama (Form)</t>
        </is>
      </c>
      <c r="F314" s="43" t="inlineStr">
        <is>
          <t>Lead - Kadın Doğum/Gebe/FTR</t>
        </is>
      </c>
      <c r="G314" s="83" t="n">
        <v>3672.62</v>
      </c>
      <c r="H314" s="43" t="inlineStr">
        <is>
          <t>Potansiyel müşteriler (form)</t>
        </is>
      </c>
      <c r="I314" s="46" t="n">
        <v>6</v>
      </c>
      <c r="J314" s="46" t="n">
        <v>34556</v>
      </c>
      <c r="K314" s="46" t="n">
        <v>39149</v>
      </c>
    </row>
    <row r="315">
      <c r="A315" s="47" t="inlineStr">
        <is>
          <t>Doruk Hastaneleri</t>
        </is>
      </c>
      <c r="B315" s="47" t="inlineStr">
        <is>
          <t>Gebe-Doğum Form Kampanyası</t>
        </is>
      </c>
      <c r="C315" s="50" t="inlineStr">
        <is>
          <t>2026-07-05</t>
        </is>
      </c>
      <c r="D315" s="47" t="inlineStr">
        <is>
          <t>Hastane (Kurumsal)</t>
        </is>
      </c>
      <c r="E315" s="47" t="inlineStr">
        <is>
          <t>Lead Toplama (Form)</t>
        </is>
      </c>
      <c r="F315" s="47" t="inlineStr">
        <is>
          <t>Lead - Kadın Doğum/Gebe/FTR</t>
        </is>
      </c>
      <c r="G315" s="84" t="n">
        <v>3644.9</v>
      </c>
      <c r="H315" s="47" t="inlineStr">
        <is>
          <t>Potansiyel müşteriler (form)</t>
        </is>
      </c>
      <c r="I315" s="50" t="n">
        <v>4</v>
      </c>
      <c r="J315" s="50" t="n">
        <v>28849</v>
      </c>
      <c r="K315" s="50" t="n">
        <v>49846</v>
      </c>
    </row>
    <row r="316">
      <c r="A316" s="43" t="inlineStr">
        <is>
          <t>Doruk Hastaneleri</t>
        </is>
      </c>
      <c r="B316" s="43" t="inlineStr">
        <is>
          <t>FTR Yatılı - lead</t>
        </is>
      </c>
      <c r="C316" s="46" t="inlineStr">
        <is>
          <t>2026-07-04</t>
        </is>
      </c>
      <c r="D316" s="43" t="inlineStr">
        <is>
          <t>Hastane (Kurumsal)</t>
        </is>
      </c>
      <c r="E316" s="43" t="inlineStr">
        <is>
          <t>Lead Toplama (Form)</t>
        </is>
      </c>
      <c r="F316" s="43" t="inlineStr">
        <is>
          <t>Lead - Kadın Doğum/Gebe/FTR</t>
        </is>
      </c>
      <c r="G316" s="83" t="n">
        <v>3416.62</v>
      </c>
      <c r="H316" s="43" t="inlineStr">
        <is>
          <t>Potansiyel müşteriler (form)</t>
        </is>
      </c>
      <c r="I316" s="46" t="n">
        <v>11</v>
      </c>
      <c r="J316" s="46" t="n">
        <v>39963</v>
      </c>
      <c r="K316" s="46" t="n">
        <v>43820</v>
      </c>
    </row>
    <row r="317">
      <c r="A317" s="47" t="inlineStr">
        <is>
          <t>Doruk Hastaneleri</t>
        </is>
      </c>
      <c r="B317" s="47" t="inlineStr">
        <is>
          <t>FTR Yatılı - lead</t>
        </is>
      </c>
      <c r="C317" s="50" t="inlineStr">
        <is>
          <t>2026-07-14</t>
        </is>
      </c>
      <c r="D317" s="47" t="inlineStr">
        <is>
          <t>Hastane (Kurumsal)</t>
        </is>
      </c>
      <c r="E317" s="47" t="inlineStr">
        <is>
          <t>Lead Toplama (Form)</t>
        </is>
      </c>
      <c r="F317" s="47" t="inlineStr">
        <is>
          <t>Lead - Kadın Doğum/Gebe/FTR</t>
        </is>
      </c>
      <c r="G317" s="84" t="n">
        <v>3054.46</v>
      </c>
      <c r="H317" s="47" t="inlineStr">
        <is>
          <t>Potansiyel müşteriler (form)</t>
        </is>
      </c>
      <c r="I317" s="50" t="n">
        <v>3</v>
      </c>
      <c r="J317" s="50" t="n">
        <v>64628</v>
      </c>
      <c r="K317" s="50" t="n">
        <v>65680</v>
      </c>
    </row>
    <row r="318">
      <c r="A318" s="43" t="inlineStr">
        <is>
          <t>Doruk Hastaneleri</t>
        </is>
      </c>
      <c r="B318" s="43" t="inlineStr">
        <is>
          <t>FTR Yatılı - lead</t>
        </is>
      </c>
      <c r="C318" s="46" t="inlineStr">
        <is>
          <t>2026-06-29</t>
        </is>
      </c>
      <c r="D318" s="43" t="inlineStr">
        <is>
          <t>Hastane (Kurumsal)</t>
        </is>
      </c>
      <c r="E318" s="43" t="inlineStr">
        <is>
          <t>Lead Toplama (Form)</t>
        </is>
      </c>
      <c r="F318" s="43" t="inlineStr">
        <is>
          <t>Lead - Kadın Doğum/Gebe/FTR</t>
        </is>
      </c>
      <c r="G318" s="83" t="n">
        <v>2951.52</v>
      </c>
      <c r="H318" s="43" t="inlineStr">
        <is>
          <t>Potansiyel müşteriler (form)</t>
        </is>
      </c>
      <c r="I318" s="46" t="n">
        <v>5</v>
      </c>
      <c r="J318" s="46" t="n">
        <v>37052</v>
      </c>
      <c r="K318" s="46" t="n">
        <v>41753</v>
      </c>
    </row>
    <row r="319">
      <c r="A319" s="47" t="inlineStr">
        <is>
          <t>Doruk Hastaneleri</t>
        </is>
      </c>
      <c r="B319" s="47" t="inlineStr">
        <is>
          <t>FTR Yatılı - lead</t>
        </is>
      </c>
      <c r="C319" s="50" t="inlineStr">
        <is>
          <t>2026-07-09</t>
        </is>
      </c>
      <c r="D319" s="47" t="inlineStr">
        <is>
          <t>Hastane (Kurumsal)</t>
        </is>
      </c>
      <c r="E319" s="47" t="inlineStr">
        <is>
          <t>Lead Toplama (Form)</t>
        </is>
      </c>
      <c r="F319" s="47" t="inlineStr">
        <is>
          <t>Lead - Kadın Doğum/Gebe/FTR</t>
        </is>
      </c>
      <c r="G319" s="84" t="n">
        <v>2933.59</v>
      </c>
      <c r="H319" s="47" t="inlineStr">
        <is>
          <t>Potansiyel müşteriler (form)</t>
        </is>
      </c>
      <c r="I319" s="50" t="n">
        <v>3</v>
      </c>
      <c r="J319" s="50" t="n">
        <v>35581</v>
      </c>
      <c r="K319" s="50" t="n">
        <v>39028</v>
      </c>
    </row>
    <row r="320">
      <c r="A320" s="43" t="inlineStr">
        <is>
          <t>Doruk Hastaneleri</t>
        </is>
      </c>
      <c r="B320" s="43" t="inlineStr">
        <is>
          <t>FTR Yatılı - lead</t>
        </is>
      </c>
      <c r="C320" s="46" t="inlineStr">
        <is>
          <t>2026-06-24</t>
        </is>
      </c>
      <c r="D320" s="43" t="inlineStr">
        <is>
          <t>Hastane (Kurumsal)</t>
        </is>
      </c>
      <c r="E320" s="43" t="inlineStr">
        <is>
          <t>Lead Toplama (Form)</t>
        </is>
      </c>
      <c r="F320" s="43" t="inlineStr">
        <is>
          <t>Lead - Kadın Doğum/Gebe/FTR</t>
        </is>
      </c>
      <c r="G320" s="83" t="n">
        <v>2574.37</v>
      </c>
      <c r="H320" s="43" t="inlineStr">
        <is>
          <t>Potansiyel müşteriler (form)</t>
        </is>
      </c>
      <c r="I320" s="46" t="n">
        <v>1</v>
      </c>
      <c r="J320" s="46" t="n">
        <v>14335</v>
      </c>
      <c r="K320" s="46" t="n">
        <v>18588</v>
      </c>
    </row>
    <row r="321">
      <c r="A321" s="47" t="inlineStr">
        <is>
          <t>Doruk Hastaneleri</t>
        </is>
      </c>
      <c r="B321" s="47" t="inlineStr">
        <is>
          <t>FTR Yatılı - lead</t>
        </is>
      </c>
      <c r="C321" s="50" t="inlineStr">
        <is>
          <t>2026-07-22</t>
        </is>
      </c>
      <c r="D321" s="47" t="inlineStr">
        <is>
          <t>Hastane (Kurumsal)</t>
        </is>
      </c>
      <c r="E321" s="47" t="inlineStr">
        <is>
          <t>Lead Toplama (Form)</t>
        </is>
      </c>
      <c r="F321" s="47" t="inlineStr">
        <is>
          <t>Lead - Kadın Doğum/Gebe/FTR</t>
        </is>
      </c>
      <c r="G321" s="84" t="n">
        <v>2399.94</v>
      </c>
      <c r="H321" s="47" t="inlineStr">
        <is>
          <t>Potansiyel müşteriler (form)</t>
        </is>
      </c>
      <c r="I321" s="50" t="n">
        <v>4</v>
      </c>
      <c r="J321" s="50" t="n">
        <v>28721</v>
      </c>
      <c r="K321" s="50" t="n">
        <v>33542</v>
      </c>
    </row>
    <row r="322">
      <c r="A322" s="43" t="inlineStr">
        <is>
          <t>Doruk Hastaneleri</t>
        </is>
      </c>
      <c r="B322" s="43" t="inlineStr">
        <is>
          <t>FTR Yatılı - lead</t>
        </is>
      </c>
      <c r="C322" s="46" t="inlineStr">
        <is>
          <t>2026-07-05</t>
        </is>
      </c>
      <c r="D322" s="43" t="inlineStr">
        <is>
          <t>Hastane (Kurumsal)</t>
        </is>
      </c>
      <c r="E322" s="43" t="inlineStr">
        <is>
          <t>Lead Toplama (Form)</t>
        </is>
      </c>
      <c r="F322" s="43" t="inlineStr">
        <is>
          <t>Lead - Kadın Doğum/Gebe/FTR</t>
        </is>
      </c>
      <c r="G322" s="83" t="n">
        <v>2247.28</v>
      </c>
      <c r="H322" s="43" t="inlineStr">
        <is>
          <t>Potansiyel müşteriler (form)</t>
        </is>
      </c>
      <c r="I322" s="46" t="n">
        <v>3</v>
      </c>
      <c r="J322" s="46" t="n">
        <v>22367</v>
      </c>
      <c r="K322" s="46" t="n">
        <v>25453</v>
      </c>
    </row>
    <row r="323">
      <c r="A323" s="47" t="inlineStr">
        <is>
          <t>Doruk Hastaneleri</t>
        </is>
      </c>
      <c r="B323" s="47" t="inlineStr">
        <is>
          <t>Gebe-Doğum Form Kampanyası</t>
        </is>
      </c>
      <c r="C323" s="50" t="inlineStr">
        <is>
          <t>2026-07-14</t>
        </is>
      </c>
      <c r="D323" s="47" t="inlineStr">
        <is>
          <t>Hastane (Kurumsal)</t>
        </is>
      </c>
      <c r="E323" s="47" t="inlineStr">
        <is>
          <t>Lead Toplama (Form)</t>
        </is>
      </c>
      <c r="F323" s="47" t="inlineStr">
        <is>
          <t>Lead - Kadın Doğum/Gebe/FTR</t>
        </is>
      </c>
      <c r="G323" s="84" t="n">
        <v>1856.63</v>
      </c>
      <c r="H323" s="47" t="inlineStr">
        <is>
          <t>Potansiyel müşteriler (form)</t>
        </is>
      </c>
      <c r="I323" s="50" t="n">
        <v>3</v>
      </c>
      <c r="J323" s="50" t="n">
        <v>23635</v>
      </c>
      <c r="K323" s="50" t="n">
        <v>32581</v>
      </c>
    </row>
    <row r="324">
      <c r="A324" s="43" t="inlineStr">
        <is>
          <t>Doruk Hastaneleri</t>
        </is>
      </c>
      <c r="B324" s="43" t="inlineStr">
        <is>
          <t>Checkup - genel - lead</t>
        </is>
      </c>
      <c r="C324" s="46" t="inlineStr">
        <is>
          <t>2026-06-27</t>
        </is>
      </c>
      <c r="D324" s="43" t="inlineStr">
        <is>
          <t>Hastane (Kurumsal)</t>
        </is>
      </c>
      <c r="E324" s="43" t="inlineStr">
        <is>
          <t>Lead Toplama (Form)</t>
        </is>
      </c>
      <c r="F324" s="43" t="inlineStr">
        <is>
          <t>Lead - Check-up/Tarama</t>
        </is>
      </c>
      <c r="G324" s="83" t="n">
        <v>1728.43</v>
      </c>
      <c r="H324" s="43" t="inlineStr">
        <is>
          <t>Potansiyel müşteriler (form)</t>
        </is>
      </c>
      <c r="I324" s="46" t="n">
        <v>1</v>
      </c>
      <c r="J324" s="46" t="n">
        <v>11889</v>
      </c>
      <c r="K324" s="46" t="n">
        <v>15219</v>
      </c>
    </row>
    <row r="325">
      <c r="A325" s="47" t="inlineStr">
        <is>
          <t>Doruk Hastaneleri</t>
        </is>
      </c>
      <c r="B325" s="47" t="inlineStr">
        <is>
          <t>Uzman Hekim Başvuru</t>
        </is>
      </c>
      <c r="C325" s="50" t="inlineStr">
        <is>
          <t>2026-06-27</t>
        </is>
      </c>
      <c r="D325" s="47" t="inlineStr">
        <is>
          <t>Hastane (Kurumsal)</t>
        </is>
      </c>
      <c r="E325" s="47" t="inlineStr">
        <is>
          <t>Lead Toplama (Form)</t>
        </is>
      </c>
      <c r="F325" s="47" t="inlineStr">
        <is>
          <t>Lead - İK/İş Başvurusu</t>
        </is>
      </c>
      <c r="G325" s="84" t="n">
        <v>1726.62</v>
      </c>
      <c r="H325" s="47" t="inlineStr">
        <is>
          <t>Potansiyel müşteriler (form)</t>
        </is>
      </c>
      <c r="I325" s="50" t="n">
        <v>7</v>
      </c>
      <c r="J325" s="50" t="n">
        <v>10693</v>
      </c>
      <c r="K325" s="50" t="n">
        <v>14084</v>
      </c>
    </row>
    <row r="326">
      <c r="A326" s="43" t="inlineStr">
        <is>
          <t>Doruk Hastaneleri</t>
        </is>
      </c>
      <c r="B326" s="43" t="inlineStr">
        <is>
          <t>Hemşire İş Başvuru - lead</t>
        </is>
      </c>
      <c r="C326" s="46" t="inlineStr">
        <is>
          <t>2026-06-27</t>
        </is>
      </c>
      <c r="D326" s="43" t="inlineStr">
        <is>
          <t>Hastane (Kurumsal)</t>
        </is>
      </c>
      <c r="E326" s="43" t="inlineStr">
        <is>
          <t>Lead Toplama (Form)</t>
        </is>
      </c>
      <c r="F326" s="43" t="inlineStr">
        <is>
          <t>Lead - İK/İş Başvurusu</t>
        </is>
      </c>
      <c r="G326" s="83" t="n">
        <v>1720.24</v>
      </c>
      <c r="H326" s="43" t="inlineStr">
        <is>
          <t>Potansiyel müşteriler (form)</t>
        </is>
      </c>
      <c r="I326" s="46" t="n">
        <v>1</v>
      </c>
      <c r="J326" s="46" t="n">
        <v>17715</v>
      </c>
      <c r="K326" s="46" t="n">
        <v>28518</v>
      </c>
    </row>
    <row r="327">
      <c r="A327" s="47" t="inlineStr">
        <is>
          <t>Doruk Hastaneleri</t>
        </is>
      </c>
      <c r="B327" s="47" t="inlineStr">
        <is>
          <t>Uzman Hekim Başvuru</t>
        </is>
      </c>
      <c r="C327" s="50" t="inlineStr">
        <is>
          <t>2026-07-18</t>
        </is>
      </c>
      <c r="D327" s="47" t="inlineStr">
        <is>
          <t>Hastane (Kurumsal)</t>
        </is>
      </c>
      <c r="E327" s="47" t="inlineStr">
        <is>
          <t>Lead Toplama (Form)</t>
        </is>
      </c>
      <c r="F327" s="47" t="inlineStr">
        <is>
          <t>Lead - İK/İş Başvurusu</t>
        </is>
      </c>
      <c r="G327" s="84" t="n">
        <v>1605.88</v>
      </c>
      <c r="H327" s="47" t="inlineStr">
        <is>
          <t>Potansiyel müşteriler (form)</t>
        </is>
      </c>
      <c r="I327" s="50" t="n">
        <v>8</v>
      </c>
      <c r="J327" s="50" t="n">
        <v>10653</v>
      </c>
      <c r="K327" s="50" t="n">
        <v>13587</v>
      </c>
    </row>
    <row r="328">
      <c r="A328" s="43" t="inlineStr">
        <is>
          <t>Doruk Hastaneleri</t>
        </is>
      </c>
      <c r="B328" s="43" t="inlineStr">
        <is>
          <t>Gebe-Doğum Form Kampanyası</t>
        </is>
      </c>
      <c r="C328" s="46" t="inlineStr">
        <is>
          <t>2026-07-11</t>
        </is>
      </c>
      <c r="D328" s="43" t="inlineStr">
        <is>
          <t>Hastane (Kurumsal)</t>
        </is>
      </c>
      <c r="E328" s="43" t="inlineStr">
        <is>
          <t>Lead Toplama (Form)</t>
        </is>
      </c>
      <c r="F328" s="43" t="inlineStr">
        <is>
          <t>Lead - Kadın Doğum/Gebe/FTR</t>
        </is>
      </c>
      <c r="G328" s="83" t="n">
        <v>1565.73</v>
      </c>
      <c r="H328" s="43" t="inlineStr">
        <is>
          <t>Potansiyel müşteriler (form)</t>
        </is>
      </c>
      <c r="I328" s="46" t="n">
        <v>4</v>
      </c>
      <c r="J328" s="46" t="n">
        <v>15415</v>
      </c>
      <c r="K328" s="46" t="n">
        <v>21496</v>
      </c>
    </row>
    <row r="329">
      <c r="A329" s="47" t="inlineStr">
        <is>
          <t>Doruk Hastaneleri</t>
        </is>
      </c>
      <c r="B329" s="47" t="inlineStr">
        <is>
          <t>Hemşire İş Başvuru - lead</t>
        </is>
      </c>
      <c r="C329" s="50" t="inlineStr">
        <is>
          <t>2026-07-18</t>
        </is>
      </c>
      <c r="D329" s="47" t="inlineStr">
        <is>
          <t>Hastane (Kurumsal)</t>
        </is>
      </c>
      <c r="E329" s="47" t="inlineStr">
        <is>
          <t>Lead Toplama (Form)</t>
        </is>
      </c>
      <c r="F329" s="47" t="inlineStr">
        <is>
          <t>Lead - İK/İş Başvurusu</t>
        </is>
      </c>
      <c r="G329" s="84" t="n">
        <v>1543.52</v>
      </c>
      <c r="H329" s="47" t="inlineStr">
        <is>
          <t>Potansiyel müşteriler (form)</t>
        </is>
      </c>
      <c r="I329" s="50" t="n">
        <v>2</v>
      </c>
      <c r="J329" s="50" t="n">
        <v>15840</v>
      </c>
      <c r="K329" s="50" t="n">
        <v>25446</v>
      </c>
    </row>
    <row r="330">
      <c r="A330" s="43" t="inlineStr">
        <is>
          <t>Doruk Hastaneleri</t>
        </is>
      </c>
      <c r="B330" s="43" t="inlineStr">
        <is>
          <t>Checkup - genel - lead</t>
        </is>
      </c>
      <c r="C330" s="46" t="inlineStr">
        <is>
          <t>2026-07-16</t>
        </is>
      </c>
      <c r="D330" s="43" t="inlineStr">
        <is>
          <t>Hastane (Kurumsal)</t>
        </is>
      </c>
      <c r="E330" s="43" t="inlineStr">
        <is>
          <t>Lead Toplama (Form)</t>
        </is>
      </c>
      <c r="F330" s="43" t="inlineStr">
        <is>
          <t>Lead - Check-up/Tarama</t>
        </is>
      </c>
      <c r="G330" s="83" t="n">
        <v>1522.71</v>
      </c>
      <c r="H330" s="43" t="inlineStr">
        <is>
          <t>Potansiyel müşteriler (form)</t>
        </is>
      </c>
      <c r="I330" s="46" t="n">
        <v>5</v>
      </c>
      <c r="J330" s="46" t="n">
        <v>11133</v>
      </c>
      <c r="K330" s="46" t="n">
        <v>14816</v>
      </c>
    </row>
    <row r="331">
      <c r="A331" s="47" t="inlineStr">
        <is>
          <t>Doruk Hastaneleri</t>
        </is>
      </c>
      <c r="B331" s="47" t="inlineStr">
        <is>
          <t>Gebe-Doğum Form Kampanyası</t>
        </is>
      </c>
      <c r="C331" s="50" t="inlineStr">
        <is>
          <t>2026-07-06</t>
        </is>
      </c>
      <c r="D331" s="47" t="inlineStr">
        <is>
          <t>Hastane (Kurumsal)</t>
        </is>
      </c>
      <c r="E331" s="47" t="inlineStr">
        <is>
          <t>Lead Toplama (Form)</t>
        </is>
      </c>
      <c r="F331" s="47" t="inlineStr">
        <is>
          <t>Lead - Kadın Doğum/Gebe/FTR</t>
        </is>
      </c>
      <c r="G331" s="84" t="n">
        <v>1460.15</v>
      </c>
      <c r="H331" s="47" t="inlineStr">
        <is>
          <t>Potansiyel müşteriler (form)</t>
        </is>
      </c>
      <c r="I331" s="50" t="n">
        <v>4</v>
      </c>
      <c r="J331" s="50" t="n">
        <v>14231</v>
      </c>
      <c r="K331" s="50" t="n">
        <v>21194</v>
      </c>
    </row>
    <row r="332">
      <c r="A332" s="43" t="inlineStr">
        <is>
          <t>Doruk Hastaneleri</t>
        </is>
      </c>
      <c r="B332" s="43" t="inlineStr">
        <is>
          <t>Checkup - genel - lead</t>
        </is>
      </c>
      <c r="C332" s="46" t="inlineStr">
        <is>
          <t>2026-07-10</t>
        </is>
      </c>
      <c r="D332" s="43" t="inlineStr">
        <is>
          <t>Hastane (Kurumsal)</t>
        </is>
      </c>
      <c r="E332" s="43" t="inlineStr">
        <is>
          <t>Lead Toplama (Form)</t>
        </is>
      </c>
      <c r="F332" s="43" t="inlineStr">
        <is>
          <t>Lead - Check-up/Tarama</t>
        </is>
      </c>
      <c r="G332" s="83" t="n">
        <v>1433.75</v>
      </c>
      <c r="H332" s="43" t="inlineStr">
        <is>
          <t>Potansiyel müşteriler (form)</t>
        </is>
      </c>
      <c r="I332" s="46" t="n">
        <v>2</v>
      </c>
      <c r="J332" s="46" t="n">
        <v>9400</v>
      </c>
      <c r="K332" s="46" t="n">
        <v>12933</v>
      </c>
    </row>
    <row r="333">
      <c r="A333" s="47" t="inlineStr">
        <is>
          <t>Doruk Hastaneleri</t>
        </is>
      </c>
      <c r="B333" s="47" t="inlineStr">
        <is>
          <t>Uzman Hekim Başvuru</t>
        </is>
      </c>
      <c r="C333" s="50" t="inlineStr">
        <is>
          <t>2026-07-10</t>
        </is>
      </c>
      <c r="D333" s="47" t="inlineStr">
        <is>
          <t>Hastane (Kurumsal)</t>
        </is>
      </c>
      <c r="E333" s="47" t="inlineStr">
        <is>
          <t>Lead Toplama (Form)</t>
        </is>
      </c>
      <c r="F333" s="47" t="inlineStr">
        <is>
          <t>Lead - İK/İş Başvurusu</t>
        </is>
      </c>
      <c r="G333" s="84" t="n">
        <v>1395.43</v>
      </c>
      <c r="H333" s="47" t="inlineStr">
        <is>
          <t>Potansiyel müşteriler (form)</t>
        </is>
      </c>
      <c r="I333" s="50" t="n">
        <v>10</v>
      </c>
      <c r="J333" s="50" t="n">
        <v>8572</v>
      </c>
      <c r="K333" s="50" t="n">
        <v>10671</v>
      </c>
    </row>
    <row r="334">
      <c r="A334" s="43" t="inlineStr">
        <is>
          <t>Doruk Hastaneleri</t>
        </is>
      </c>
      <c r="B334" s="43" t="inlineStr">
        <is>
          <t>Checkup - genel - lead</t>
        </is>
      </c>
      <c r="C334" s="46" t="inlineStr">
        <is>
          <t>2026-06-26</t>
        </is>
      </c>
      <c r="D334" s="43" t="inlineStr">
        <is>
          <t>Hastane (Kurumsal)</t>
        </is>
      </c>
      <c r="E334" s="43" t="inlineStr">
        <is>
          <t>Lead Toplama (Form)</t>
        </is>
      </c>
      <c r="F334" s="43" t="inlineStr">
        <is>
          <t>Lead - Check-up/Tarama</t>
        </is>
      </c>
      <c r="G334" s="83" t="n">
        <v>1382.26</v>
      </c>
      <c r="H334" s="43" t="inlineStr">
        <is>
          <t>Potansiyel müşteriler (form)</t>
        </is>
      </c>
      <c r="I334" s="46" t="n">
        <v>4</v>
      </c>
      <c r="J334" s="46" t="n">
        <v>11452</v>
      </c>
      <c r="K334" s="46" t="n">
        <v>14643</v>
      </c>
    </row>
    <row r="335">
      <c r="A335" s="47" t="inlineStr">
        <is>
          <t>Doruk Hastaneleri</t>
        </is>
      </c>
      <c r="B335" s="47" t="inlineStr">
        <is>
          <t>Gebe-Doğum Form Kampanyası</t>
        </is>
      </c>
      <c r="C335" s="50" t="inlineStr">
        <is>
          <t>2026-07-21</t>
        </is>
      </c>
      <c r="D335" s="47" t="inlineStr">
        <is>
          <t>Hastane (Kurumsal)</t>
        </is>
      </c>
      <c r="E335" s="47" t="inlineStr">
        <is>
          <t>Lead Toplama (Form)</t>
        </is>
      </c>
      <c r="F335" s="47" t="inlineStr">
        <is>
          <t>Lead - Kadın Doğum/Gebe/FTR</t>
        </is>
      </c>
      <c r="G335" s="84" t="n">
        <v>1368.96</v>
      </c>
      <c r="H335" s="47" t="inlineStr">
        <is>
          <t>Potansiyel müşteriler (form)</t>
        </is>
      </c>
      <c r="I335" s="50" t="n">
        <v>6</v>
      </c>
      <c r="J335" s="50" t="n">
        <v>13551</v>
      </c>
      <c r="K335" s="50" t="n">
        <v>18833</v>
      </c>
    </row>
    <row r="336">
      <c r="A336" s="43" t="inlineStr">
        <is>
          <t>Doruk Hastaneleri</t>
        </is>
      </c>
      <c r="B336" s="43" t="inlineStr">
        <is>
          <t>Checkup - genel - lead</t>
        </is>
      </c>
      <c r="C336" s="46" t="inlineStr">
        <is>
          <t>2026-07-08</t>
        </is>
      </c>
      <c r="D336" s="43" t="inlineStr">
        <is>
          <t>Hastane (Kurumsal)</t>
        </is>
      </c>
      <c r="E336" s="43" t="inlineStr">
        <is>
          <t>Lead Toplama (Form)</t>
        </is>
      </c>
      <c r="F336" s="43" t="inlineStr">
        <is>
          <t>Lead - Check-up/Tarama</t>
        </is>
      </c>
      <c r="G336" s="83" t="n">
        <v>1363.84</v>
      </c>
      <c r="H336" s="43" t="inlineStr">
        <is>
          <t>Potansiyel müşteriler (form)</t>
        </is>
      </c>
      <c r="I336" s="46" t="n">
        <v>3</v>
      </c>
      <c r="J336" s="46" t="n">
        <v>8230</v>
      </c>
      <c r="K336" s="46" t="n">
        <v>11307</v>
      </c>
    </row>
    <row r="337">
      <c r="A337" s="47" t="inlineStr">
        <is>
          <t>Doruk Hastaneleri</t>
        </is>
      </c>
      <c r="B337" s="47" t="inlineStr">
        <is>
          <t>Hemşire İş Başvuru - lead</t>
        </is>
      </c>
      <c r="C337" s="50" t="inlineStr">
        <is>
          <t>2026-07-08</t>
        </is>
      </c>
      <c r="D337" s="47" t="inlineStr">
        <is>
          <t>Hastane (Kurumsal)</t>
        </is>
      </c>
      <c r="E337" s="47" t="inlineStr">
        <is>
          <t>Lead Toplama (Form)</t>
        </is>
      </c>
      <c r="F337" s="47" t="inlineStr">
        <is>
          <t>Lead - İK/İş Başvurusu</t>
        </is>
      </c>
      <c r="G337" s="84" t="n">
        <v>1357.87</v>
      </c>
      <c r="H337" s="47" t="inlineStr">
        <is>
          <t>Potansiyel müşteriler (form)</t>
        </is>
      </c>
      <c r="I337" s="50" t="n">
        <v>8</v>
      </c>
      <c r="J337" s="50" t="n">
        <v>13736</v>
      </c>
      <c r="K337" s="50" t="n">
        <v>21644</v>
      </c>
    </row>
    <row r="338">
      <c r="A338" s="43" t="inlineStr">
        <is>
          <t>Doruk Hastaneleri</t>
        </is>
      </c>
      <c r="B338" s="43" t="inlineStr">
        <is>
          <t>Uzman Hekim Başvuru</t>
        </is>
      </c>
      <c r="C338" s="46" t="inlineStr">
        <is>
          <t>2026-06-26</t>
        </is>
      </c>
      <c r="D338" s="43" t="inlineStr">
        <is>
          <t>Hastane (Kurumsal)</t>
        </is>
      </c>
      <c r="E338" s="43" t="inlineStr">
        <is>
          <t>Lead Toplama (Form)</t>
        </is>
      </c>
      <c r="F338" s="43" t="inlineStr">
        <is>
          <t>Lead - İK/İş Başvurusu</t>
        </is>
      </c>
      <c r="G338" s="83" t="n">
        <v>1351.89</v>
      </c>
      <c r="H338" s="43" t="inlineStr">
        <is>
          <t>Potansiyel müşteriler (form)</t>
        </is>
      </c>
      <c r="I338" s="46" t="n">
        <v>8</v>
      </c>
      <c r="J338" s="46" t="n">
        <v>7986</v>
      </c>
      <c r="K338" s="46" t="n">
        <v>10517</v>
      </c>
    </row>
    <row r="339">
      <c r="A339" s="47" t="inlineStr">
        <is>
          <t>Doruk Hastaneleri</t>
        </is>
      </c>
      <c r="B339" s="47" t="inlineStr">
        <is>
          <t>Hemşire İş Başvuru - lead</t>
        </is>
      </c>
      <c r="C339" s="50" t="inlineStr">
        <is>
          <t>2026-07-10</t>
        </is>
      </c>
      <c r="D339" s="47" t="inlineStr">
        <is>
          <t>Hastane (Kurumsal)</t>
        </is>
      </c>
      <c r="E339" s="47" t="inlineStr">
        <is>
          <t>Lead Toplama (Form)</t>
        </is>
      </c>
      <c r="F339" s="47" t="inlineStr">
        <is>
          <t>Lead - İK/İş Başvurusu</t>
        </is>
      </c>
      <c r="G339" s="84" t="n">
        <v>1332.12</v>
      </c>
      <c r="H339" s="47" t="inlineStr">
        <is>
          <t>Potansiyel müşteriler (form)</t>
        </is>
      </c>
      <c r="I339" s="50" t="n">
        <v>6</v>
      </c>
      <c r="J339" s="50" t="n">
        <v>13732</v>
      </c>
      <c r="K339" s="50" t="n">
        <v>22605</v>
      </c>
    </row>
    <row r="340">
      <c r="A340" s="43" t="inlineStr">
        <is>
          <t>Doruk Hastaneleri</t>
        </is>
      </c>
      <c r="B340" s="43" t="inlineStr">
        <is>
          <t>Uzman Hekim Başvuru</t>
        </is>
      </c>
      <c r="C340" s="46" t="inlineStr">
        <is>
          <t>2026-07-08</t>
        </is>
      </c>
      <c r="D340" s="43" t="inlineStr">
        <is>
          <t>Hastane (Kurumsal)</t>
        </is>
      </c>
      <c r="E340" s="43" t="inlineStr">
        <is>
          <t>Lead Toplama (Form)</t>
        </is>
      </c>
      <c r="F340" s="43" t="inlineStr">
        <is>
          <t>Lead - İK/İş Başvurusu</t>
        </is>
      </c>
      <c r="G340" s="83" t="n">
        <v>1305.08</v>
      </c>
      <c r="H340" s="43" t="inlineStr">
        <is>
          <t>Potansiyel müşteriler (form)</t>
        </is>
      </c>
      <c r="I340" s="46" t="n">
        <v>4</v>
      </c>
      <c r="J340" s="46" t="n">
        <v>7085</v>
      </c>
      <c r="K340" s="46" t="n">
        <v>9163</v>
      </c>
    </row>
    <row r="341">
      <c r="A341" s="47" t="inlineStr">
        <is>
          <t>Doruk Hastaneleri</t>
        </is>
      </c>
      <c r="B341" s="47" t="inlineStr">
        <is>
          <t>Uzman Hekim Başvuru</t>
        </is>
      </c>
      <c r="C341" s="50" t="inlineStr">
        <is>
          <t>2026-07-16</t>
        </is>
      </c>
      <c r="D341" s="47" t="inlineStr">
        <is>
          <t>Hastane (Kurumsal)</t>
        </is>
      </c>
      <c r="E341" s="47" t="inlineStr">
        <is>
          <t>Lead Toplama (Form)</t>
        </is>
      </c>
      <c r="F341" s="47" t="inlineStr">
        <is>
          <t>Lead - İK/İş Başvurusu</t>
        </is>
      </c>
      <c r="G341" s="84" t="n">
        <v>1266.37</v>
      </c>
      <c r="H341" s="47" t="inlineStr">
        <is>
          <t>Potansiyel müşteriler (form)</t>
        </is>
      </c>
      <c r="I341" s="50" t="n">
        <v>9</v>
      </c>
      <c r="J341" s="50" t="n">
        <v>10091</v>
      </c>
      <c r="K341" s="50" t="n">
        <v>13105</v>
      </c>
    </row>
    <row r="342">
      <c r="A342" s="43" t="inlineStr">
        <is>
          <t>Doruk Hastaneleri</t>
        </is>
      </c>
      <c r="B342" s="43" t="inlineStr">
        <is>
          <t>Hemşire İş Başvuru - lead</t>
        </is>
      </c>
      <c r="C342" s="46" t="inlineStr">
        <is>
          <t>2026-06-26</t>
        </is>
      </c>
      <c r="D342" s="43" t="inlineStr">
        <is>
          <t>Hastane (Kurumsal)</t>
        </is>
      </c>
      <c r="E342" s="43" t="inlineStr">
        <is>
          <t>Lead Toplama (Form)</t>
        </is>
      </c>
      <c r="F342" s="43" t="inlineStr">
        <is>
          <t>Lead - İK/İş Başvurusu</t>
        </is>
      </c>
      <c r="G342" s="83" t="n">
        <v>1250.53</v>
      </c>
      <c r="H342" s="43" t="inlineStr">
        <is>
          <t>Potansiyel müşteriler (form)</t>
        </is>
      </c>
      <c r="I342" s="46" t="n">
        <v>4</v>
      </c>
      <c r="J342" s="46" t="n">
        <v>14556</v>
      </c>
      <c r="K342" s="46" t="n">
        <v>21640</v>
      </c>
    </row>
    <row r="343">
      <c r="A343" s="47" t="inlineStr">
        <is>
          <t>Doruk Hastaneleri</t>
        </is>
      </c>
      <c r="B343" s="47" t="inlineStr">
        <is>
          <t>Hemşire İş Başvuru - lead</t>
        </is>
      </c>
      <c r="C343" s="50" t="inlineStr">
        <is>
          <t>2026-07-13</t>
        </is>
      </c>
      <c r="D343" s="47" t="inlineStr">
        <is>
          <t>Hastane (Kurumsal)</t>
        </is>
      </c>
      <c r="E343" s="47" t="inlineStr">
        <is>
          <t>Lead Toplama (Form)</t>
        </is>
      </c>
      <c r="F343" s="47" t="inlineStr">
        <is>
          <t>Lead - İK/İş Başvurusu</t>
        </is>
      </c>
      <c r="G343" s="84" t="n">
        <v>1239.56</v>
      </c>
      <c r="H343" s="47" t="inlineStr">
        <is>
          <t>Potansiyel müşteriler (form)</t>
        </is>
      </c>
      <c r="I343" s="50" t="n">
        <v>9</v>
      </c>
      <c r="J343" s="50" t="n">
        <v>14617</v>
      </c>
      <c r="K343" s="50" t="n">
        <v>23999</v>
      </c>
    </row>
    <row r="344">
      <c r="A344" s="43" t="inlineStr">
        <is>
          <t>Doruk Hastaneleri</t>
        </is>
      </c>
      <c r="B344" s="43" t="inlineStr">
        <is>
          <t>CBO / Saç Ekimi - lead / soğuk</t>
        </is>
      </c>
      <c r="C344" s="46" t="inlineStr">
        <is>
          <t>2026-06-27</t>
        </is>
      </c>
      <c r="D344" s="43" t="inlineStr">
        <is>
          <t>Hastane (Kurumsal)</t>
        </is>
      </c>
      <c r="E344" s="43" t="inlineStr">
        <is>
          <t>Lead Toplama (Form)</t>
        </is>
      </c>
      <c r="F344" s="43" t="inlineStr">
        <is>
          <t>Lead - Estetik/Plastik/Saç</t>
        </is>
      </c>
      <c r="G344" s="83" t="n">
        <v>1233.42</v>
      </c>
      <c r="H344" s="43" t="inlineStr">
        <is>
          <t>Potansiyel müşteriler (form)</t>
        </is>
      </c>
      <c r="I344" s="46" t="n">
        <v>2</v>
      </c>
      <c r="J344" s="46" t="n">
        <v>4283</v>
      </c>
      <c r="K344" s="46" t="n">
        <v>6432</v>
      </c>
    </row>
    <row r="345">
      <c r="A345" s="47" t="inlineStr">
        <is>
          <t>Doruk Hastaneleri</t>
        </is>
      </c>
      <c r="B345" s="47" t="inlineStr">
        <is>
          <t>Hemşire İş Başvuru - lead</t>
        </is>
      </c>
      <c r="C345" s="50" t="inlineStr">
        <is>
          <t>2026-07-16</t>
        </is>
      </c>
      <c r="D345" s="47" t="inlineStr">
        <is>
          <t>Hastane (Kurumsal)</t>
        </is>
      </c>
      <c r="E345" s="47" t="inlineStr">
        <is>
          <t>Lead Toplama (Form)</t>
        </is>
      </c>
      <c r="F345" s="47" t="inlineStr">
        <is>
          <t>Lead - İK/İş Başvurusu</t>
        </is>
      </c>
      <c r="G345" s="84" t="n">
        <v>1214.89</v>
      </c>
      <c r="H345" s="47" t="inlineStr">
        <is>
          <t>Potansiyel müşteriler (form)</t>
        </is>
      </c>
      <c r="I345" s="50" t="n">
        <v>1</v>
      </c>
      <c r="J345" s="50" t="n">
        <v>14734</v>
      </c>
      <c r="K345" s="50" t="n">
        <v>23227</v>
      </c>
    </row>
    <row r="346">
      <c r="A346" s="43" t="inlineStr">
        <is>
          <t>Doruk Hastaneleri</t>
        </is>
      </c>
      <c r="B346" s="43" t="inlineStr">
        <is>
          <t>ABO / Meme Estetiği / plastik cerrahi / lead</t>
        </is>
      </c>
      <c r="C346" s="46" t="inlineStr">
        <is>
          <t>2026-06-27</t>
        </is>
      </c>
      <c r="D346" s="43" t="inlineStr">
        <is>
          <t>Hastane (Kurumsal)</t>
        </is>
      </c>
      <c r="E346" s="43" t="inlineStr">
        <is>
          <t>Lead Toplama (Form)</t>
        </is>
      </c>
      <c r="F346" s="43" t="inlineStr">
        <is>
          <t>Lead - Estetik/Plastik/Saç</t>
        </is>
      </c>
      <c r="G346" s="83" t="n">
        <v>1214.75</v>
      </c>
      <c r="H346" s="43" t="inlineStr">
        <is>
          <t>Potansiyel müşteriler (form)</t>
        </is>
      </c>
      <c r="I346" s="46" t="n">
        <v>4</v>
      </c>
      <c r="J346" s="46" t="n">
        <v>8487</v>
      </c>
      <c r="K346" s="46" t="n">
        <v>11496</v>
      </c>
    </row>
    <row r="347">
      <c r="A347" s="47" t="inlineStr">
        <is>
          <t>Doruk Hastaneleri</t>
        </is>
      </c>
      <c r="B347" s="47" t="inlineStr">
        <is>
          <t>ABO / Meme Estetiği / plastik cerrahi / lead</t>
        </is>
      </c>
      <c r="C347" s="50" t="inlineStr">
        <is>
          <t>2026-07-18</t>
        </is>
      </c>
      <c r="D347" s="47" t="inlineStr">
        <is>
          <t>Hastane (Kurumsal)</t>
        </is>
      </c>
      <c r="E347" s="47" t="inlineStr">
        <is>
          <t>Lead Toplama (Form)</t>
        </is>
      </c>
      <c r="F347" s="47" t="inlineStr">
        <is>
          <t>Lead - Estetik/Plastik/Saç</t>
        </is>
      </c>
      <c r="G347" s="84" t="n">
        <v>1193.3</v>
      </c>
      <c r="H347" s="47" t="inlineStr">
        <is>
          <t>Potansiyel müşteriler (form)</t>
        </is>
      </c>
      <c r="I347" s="50" t="n">
        <v>1</v>
      </c>
      <c r="J347" s="50" t="n">
        <v>7646</v>
      </c>
      <c r="K347" s="50" t="n">
        <v>10573</v>
      </c>
    </row>
    <row r="348">
      <c r="A348" s="43" t="inlineStr">
        <is>
          <t>Doruk Hastaneleri</t>
        </is>
      </c>
      <c r="B348" s="43" t="inlineStr">
        <is>
          <t>CBO / Saç Ekimi - lead / soğuk</t>
        </is>
      </c>
      <c r="C348" s="46" t="inlineStr">
        <is>
          <t>2026-07-18</t>
        </is>
      </c>
      <c r="D348" s="43" t="inlineStr">
        <is>
          <t>Hastane (Kurumsal)</t>
        </is>
      </c>
      <c r="E348" s="43" t="inlineStr">
        <is>
          <t>Lead Toplama (Form)</t>
        </is>
      </c>
      <c r="F348" s="43" t="inlineStr">
        <is>
          <t>Lead - Estetik/Plastik/Saç</t>
        </is>
      </c>
      <c r="G348" s="83" t="n">
        <v>1190.17</v>
      </c>
      <c r="H348" s="43" t="inlineStr"/>
      <c r="I348" s="46" t="n">
        <v>0</v>
      </c>
      <c r="J348" s="46" t="n">
        <v>4626</v>
      </c>
      <c r="K348" s="46" t="n">
        <v>7701</v>
      </c>
    </row>
    <row r="349">
      <c r="A349" s="47" t="inlineStr">
        <is>
          <t>Doruk Hastaneleri</t>
        </is>
      </c>
      <c r="B349" s="47" t="inlineStr">
        <is>
          <t>ABO / Meme Estetiği / plastik cerrahi / lead</t>
        </is>
      </c>
      <c r="C349" s="50" t="inlineStr">
        <is>
          <t>2026-06-26</t>
        </is>
      </c>
      <c r="D349" s="47" t="inlineStr">
        <is>
          <t>Hastane (Kurumsal)</t>
        </is>
      </c>
      <c r="E349" s="47" t="inlineStr">
        <is>
          <t>Lead Toplama (Form)</t>
        </is>
      </c>
      <c r="F349" s="47" t="inlineStr">
        <is>
          <t>Lead - Estetik/Plastik/Saç</t>
        </is>
      </c>
      <c r="G349" s="84" t="n">
        <v>1181.48</v>
      </c>
      <c r="H349" s="47" t="inlineStr">
        <is>
          <t>Potansiyel müşteriler (form)</t>
        </is>
      </c>
      <c r="I349" s="50" t="n">
        <v>2</v>
      </c>
      <c r="J349" s="50" t="n">
        <v>11760</v>
      </c>
      <c r="K349" s="50" t="n">
        <v>13749</v>
      </c>
    </row>
    <row r="350">
      <c r="A350" s="43" t="inlineStr">
        <is>
          <t>Doruk Hastaneleri</t>
        </is>
      </c>
      <c r="B350" s="43" t="inlineStr">
        <is>
          <t>CBO / Saç Ekimi - lead / soğuk</t>
        </is>
      </c>
      <c r="C350" s="46" t="inlineStr">
        <is>
          <t>2026-07-01</t>
        </is>
      </c>
      <c r="D350" s="43" t="inlineStr">
        <is>
          <t>Hastane (Kurumsal)</t>
        </is>
      </c>
      <c r="E350" s="43" t="inlineStr">
        <is>
          <t>Lead Toplama (Form)</t>
        </is>
      </c>
      <c r="F350" s="43" t="inlineStr">
        <is>
          <t>Lead - Estetik/Plastik/Saç</t>
        </is>
      </c>
      <c r="G350" s="83" t="n">
        <v>1173.95</v>
      </c>
      <c r="H350" s="43" t="inlineStr">
        <is>
          <t>Potansiyel müşteriler (form)</t>
        </is>
      </c>
      <c r="I350" s="46" t="n">
        <v>2</v>
      </c>
      <c r="J350" s="46" t="n">
        <v>4340</v>
      </c>
      <c r="K350" s="46" t="n">
        <v>6241</v>
      </c>
    </row>
    <row r="351">
      <c r="A351" s="47" t="inlineStr">
        <is>
          <t>Doruk Hastaneleri</t>
        </is>
      </c>
      <c r="B351" s="47" t="inlineStr">
        <is>
          <t>CBO / Saç Ekimi - lead / soğuk</t>
        </is>
      </c>
      <c r="C351" s="50" t="inlineStr">
        <is>
          <t>2026-07-13</t>
        </is>
      </c>
      <c r="D351" s="47" t="inlineStr">
        <is>
          <t>Hastane (Kurumsal)</t>
        </is>
      </c>
      <c r="E351" s="47" t="inlineStr">
        <is>
          <t>Lead Toplama (Form)</t>
        </is>
      </c>
      <c r="F351" s="47" t="inlineStr">
        <is>
          <t>Lead - Estetik/Plastik/Saç</t>
        </is>
      </c>
      <c r="G351" s="84" t="n">
        <v>1153.21</v>
      </c>
      <c r="H351" s="47" t="inlineStr">
        <is>
          <t>Potansiyel müşteriler (form)</t>
        </is>
      </c>
      <c r="I351" s="50" t="n">
        <v>1</v>
      </c>
      <c r="J351" s="50" t="n">
        <v>5661</v>
      </c>
      <c r="K351" s="50" t="n">
        <v>8456</v>
      </c>
    </row>
    <row r="352">
      <c r="A352" s="43" t="inlineStr">
        <is>
          <t>Doruk Hastaneleri</t>
        </is>
      </c>
      <c r="B352" s="43" t="inlineStr">
        <is>
          <t>Checkup - genel - lead</t>
        </is>
      </c>
      <c r="C352" s="46" t="inlineStr">
        <is>
          <t>2026-06-28</t>
        </is>
      </c>
      <c r="D352" s="43" t="inlineStr">
        <is>
          <t>Hastane (Kurumsal)</t>
        </is>
      </c>
      <c r="E352" s="43" t="inlineStr">
        <is>
          <t>Lead Toplama (Form)</t>
        </is>
      </c>
      <c r="F352" s="43" t="inlineStr">
        <is>
          <t>Lead - Check-up/Tarama</t>
        </is>
      </c>
      <c r="G352" s="83" t="n">
        <v>1147.83</v>
      </c>
      <c r="H352" s="43" t="inlineStr"/>
      <c r="I352" s="46" t="n">
        <v>0</v>
      </c>
      <c r="J352" s="46" t="n">
        <v>7553</v>
      </c>
      <c r="K352" s="46" t="n">
        <v>10200</v>
      </c>
    </row>
    <row r="353">
      <c r="A353" s="47" t="inlineStr">
        <is>
          <t>Doruk Hastaneleri</t>
        </is>
      </c>
      <c r="B353" s="47" t="inlineStr">
        <is>
          <t>FTR Yatılı - lead</t>
        </is>
      </c>
      <c r="C353" s="50" t="inlineStr">
        <is>
          <t>2026-07-11</t>
        </is>
      </c>
      <c r="D353" s="47" t="inlineStr">
        <is>
          <t>Hastane (Kurumsal)</t>
        </is>
      </c>
      <c r="E353" s="47" t="inlineStr">
        <is>
          <t>Lead Toplama (Form)</t>
        </is>
      </c>
      <c r="F353" s="47" t="inlineStr">
        <is>
          <t>Lead - Kadın Doğum/Gebe/FTR</t>
        </is>
      </c>
      <c r="G353" s="84" t="n">
        <v>1144.57</v>
      </c>
      <c r="H353" s="47" t="inlineStr">
        <is>
          <t>Potansiyel müşteriler (form)</t>
        </is>
      </c>
      <c r="I353" s="50" t="n">
        <v>1</v>
      </c>
      <c r="J353" s="50" t="n">
        <v>14844</v>
      </c>
      <c r="K353" s="50" t="n">
        <v>15706</v>
      </c>
    </row>
    <row r="354">
      <c r="A354" s="43" t="inlineStr">
        <is>
          <t>Doruk Hastaneleri</t>
        </is>
      </c>
      <c r="B354" s="43" t="inlineStr">
        <is>
          <t>Checkup - genel - lead</t>
        </is>
      </c>
      <c r="C354" s="46" t="inlineStr">
        <is>
          <t>2026-07-01</t>
        </is>
      </c>
      <c r="D354" s="43" t="inlineStr">
        <is>
          <t>Hastane (Kurumsal)</t>
        </is>
      </c>
      <c r="E354" s="43" t="inlineStr">
        <is>
          <t>Lead Toplama (Form)</t>
        </is>
      </c>
      <c r="F354" s="43" t="inlineStr">
        <is>
          <t>Lead - Check-up/Tarama</t>
        </is>
      </c>
      <c r="G354" s="83" t="n">
        <v>1126.55</v>
      </c>
      <c r="H354" s="43" t="inlineStr">
        <is>
          <t>Potansiyel müşteriler (form)</t>
        </is>
      </c>
      <c r="I354" s="46" t="n">
        <v>4</v>
      </c>
      <c r="J354" s="46" t="n">
        <v>9017</v>
      </c>
      <c r="K354" s="46" t="n">
        <v>11925</v>
      </c>
    </row>
    <row r="355">
      <c r="A355" s="47" t="inlineStr">
        <is>
          <t>Doruk Hastaneleri</t>
        </is>
      </c>
      <c r="B355" s="47" t="inlineStr">
        <is>
          <t>Uzman Hekim Başvuru</t>
        </is>
      </c>
      <c r="C355" s="50" t="inlineStr">
        <is>
          <t>2026-07-01</t>
        </is>
      </c>
      <c r="D355" s="47" t="inlineStr">
        <is>
          <t>Hastane (Kurumsal)</t>
        </is>
      </c>
      <c r="E355" s="47" t="inlineStr">
        <is>
          <t>Lead Toplama (Form)</t>
        </is>
      </c>
      <c r="F355" s="47" t="inlineStr">
        <is>
          <t>Lead - İK/İş Başvurusu</t>
        </is>
      </c>
      <c r="G355" s="84" t="n">
        <v>1124.46</v>
      </c>
      <c r="H355" s="47" t="inlineStr">
        <is>
          <t>Potansiyel müşteriler (form)</t>
        </is>
      </c>
      <c r="I355" s="50" t="n">
        <v>13</v>
      </c>
      <c r="J355" s="50" t="n">
        <v>6961</v>
      </c>
      <c r="K355" s="50" t="n">
        <v>9611</v>
      </c>
    </row>
    <row r="356">
      <c r="A356" s="43" t="inlineStr">
        <is>
          <t>Doruk Hastaneleri</t>
        </is>
      </c>
      <c r="B356" s="43" t="inlineStr">
        <is>
          <t>Hemşire İş Başvuru - lead</t>
        </is>
      </c>
      <c r="C356" s="46" t="inlineStr">
        <is>
          <t>2026-07-01</t>
        </is>
      </c>
      <c r="D356" s="43" t="inlineStr">
        <is>
          <t>Hastane (Kurumsal)</t>
        </is>
      </c>
      <c r="E356" s="43" t="inlineStr">
        <is>
          <t>Lead Toplama (Form)</t>
        </is>
      </c>
      <c r="F356" s="43" t="inlineStr">
        <is>
          <t>Lead - İK/İş Başvurusu</t>
        </is>
      </c>
      <c r="G356" s="83" t="n">
        <v>1124.21</v>
      </c>
      <c r="H356" s="43" t="inlineStr">
        <is>
          <t>Potansiyel müşteriler (form)</t>
        </is>
      </c>
      <c r="I356" s="46" t="n">
        <v>2</v>
      </c>
      <c r="J356" s="46" t="n">
        <v>9673</v>
      </c>
      <c r="K356" s="46" t="n">
        <v>16831</v>
      </c>
    </row>
    <row r="357">
      <c r="A357" s="47" t="inlineStr">
        <is>
          <t>Doruk Hastaneleri</t>
        </is>
      </c>
      <c r="B357" s="47" t="inlineStr">
        <is>
          <t>CBO / Saç Ekimi - lead / soğuk</t>
        </is>
      </c>
      <c r="C357" s="50" t="inlineStr">
        <is>
          <t>2026-07-08</t>
        </is>
      </c>
      <c r="D357" s="47" t="inlineStr">
        <is>
          <t>Hastane (Kurumsal)</t>
        </is>
      </c>
      <c r="E357" s="47" t="inlineStr">
        <is>
          <t>Lead Toplama (Form)</t>
        </is>
      </c>
      <c r="F357" s="47" t="inlineStr">
        <is>
          <t>Lead - Estetik/Plastik/Saç</t>
        </is>
      </c>
      <c r="G357" s="84" t="n">
        <v>1124.11</v>
      </c>
      <c r="H357" s="47" t="inlineStr">
        <is>
          <t>Potansiyel müşteriler (form)</t>
        </is>
      </c>
      <c r="I357" s="50" t="n">
        <v>4</v>
      </c>
      <c r="J357" s="50" t="n">
        <v>3739</v>
      </c>
      <c r="K357" s="50" t="n">
        <v>6303</v>
      </c>
    </row>
    <row r="358">
      <c r="A358" s="43" t="inlineStr">
        <is>
          <t>Doruk Hastaneleri</t>
        </is>
      </c>
      <c r="B358" s="43" t="inlineStr">
        <is>
          <t>CBO / Saç Ekimi - lead / soğuk</t>
        </is>
      </c>
      <c r="C358" s="46" t="inlineStr">
        <is>
          <t>2026-06-28</t>
        </is>
      </c>
      <c r="D358" s="43" t="inlineStr">
        <is>
          <t>Hastane (Kurumsal)</t>
        </is>
      </c>
      <c r="E358" s="43" t="inlineStr">
        <is>
          <t>Lead Toplama (Form)</t>
        </is>
      </c>
      <c r="F358" s="43" t="inlineStr">
        <is>
          <t>Lead - Estetik/Plastik/Saç</t>
        </is>
      </c>
      <c r="G358" s="83" t="n">
        <v>1116.35</v>
      </c>
      <c r="H358" s="43" t="inlineStr">
        <is>
          <t>Potansiyel müşteriler (form)</t>
        </is>
      </c>
      <c r="I358" s="46" t="n">
        <v>1</v>
      </c>
      <c r="J358" s="46" t="n">
        <v>4105</v>
      </c>
      <c r="K358" s="46" t="n">
        <v>6141</v>
      </c>
    </row>
    <row r="359">
      <c r="A359" s="47" t="inlineStr">
        <is>
          <t>Doruk Hastaneleri</t>
        </is>
      </c>
      <c r="B359" s="47" t="inlineStr">
        <is>
          <t>ABO / Meme Estetiği / plastik cerrahi / lead</t>
        </is>
      </c>
      <c r="C359" s="50" t="inlineStr">
        <is>
          <t>2026-06-28</t>
        </is>
      </c>
      <c r="D359" s="47" t="inlineStr">
        <is>
          <t>Hastane (Kurumsal)</t>
        </is>
      </c>
      <c r="E359" s="47" t="inlineStr">
        <is>
          <t>Lead Toplama (Form)</t>
        </is>
      </c>
      <c r="F359" s="47" t="inlineStr">
        <is>
          <t>Lead - Estetik/Plastik/Saç</t>
        </is>
      </c>
      <c r="G359" s="84" t="n">
        <v>1092.75</v>
      </c>
      <c r="H359" s="47" t="inlineStr">
        <is>
          <t>Potansiyel müşteriler (form)</t>
        </is>
      </c>
      <c r="I359" s="50" t="n">
        <v>2</v>
      </c>
      <c r="J359" s="50" t="n">
        <v>7271</v>
      </c>
      <c r="K359" s="50" t="n">
        <v>9520</v>
      </c>
    </row>
    <row r="360">
      <c r="A360" s="43" t="inlineStr">
        <is>
          <t>Doruk Hastaneleri</t>
        </is>
      </c>
      <c r="B360" s="43" t="inlineStr">
        <is>
          <t>Checkup - genel - lead</t>
        </is>
      </c>
      <c r="C360" s="46" t="inlineStr">
        <is>
          <t>2026-07-02</t>
        </is>
      </c>
      <c r="D360" s="43" t="inlineStr">
        <is>
          <t>Hastane (Kurumsal)</t>
        </is>
      </c>
      <c r="E360" s="43" t="inlineStr">
        <is>
          <t>Lead Toplama (Form)</t>
        </is>
      </c>
      <c r="F360" s="43" t="inlineStr">
        <is>
          <t>Lead - Check-up/Tarama</t>
        </is>
      </c>
      <c r="G360" s="83" t="n">
        <v>1090.83</v>
      </c>
      <c r="H360" s="43" t="inlineStr">
        <is>
          <t>Potansiyel müşteriler (form)</t>
        </is>
      </c>
      <c r="I360" s="46" t="n">
        <v>4</v>
      </c>
      <c r="J360" s="46" t="n">
        <v>7798</v>
      </c>
      <c r="K360" s="46" t="n">
        <v>10128</v>
      </c>
    </row>
    <row r="361">
      <c r="A361" s="47" t="inlineStr">
        <is>
          <t>Doruk Hastaneleri</t>
        </is>
      </c>
      <c r="B361" s="47" t="inlineStr">
        <is>
          <t>CBO / Saç Ekimi - lead / soğuk</t>
        </is>
      </c>
      <c r="C361" s="50" t="inlineStr">
        <is>
          <t>2026-06-23</t>
        </is>
      </c>
      <c r="D361" s="47" t="inlineStr">
        <is>
          <t>Hastane (Kurumsal)</t>
        </is>
      </c>
      <c r="E361" s="47" t="inlineStr">
        <is>
          <t>Lead Toplama (Form)</t>
        </is>
      </c>
      <c r="F361" s="47" t="inlineStr">
        <is>
          <t>Lead - Estetik/Plastik/Saç</t>
        </is>
      </c>
      <c r="G361" s="84" t="n">
        <v>1086.93</v>
      </c>
      <c r="H361" s="47" t="inlineStr">
        <is>
          <t>Potansiyel müşteriler (form)</t>
        </is>
      </c>
      <c r="I361" s="50" t="n">
        <v>2</v>
      </c>
      <c r="J361" s="50" t="n">
        <v>4417</v>
      </c>
      <c r="K361" s="50" t="n">
        <v>6132</v>
      </c>
    </row>
    <row r="362">
      <c r="A362" s="43" t="inlineStr">
        <is>
          <t>Doruk Hastaneleri</t>
        </is>
      </c>
      <c r="B362" s="43" t="inlineStr">
        <is>
          <t>Hemşire İş Başvuru - lead</t>
        </is>
      </c>
      <c r="C362" s="46" t="inlineStr">
        <is>
          <t>2026-06-28</t>
        </is>
      </c>
      <c r="D362" s="43" t="inlineStr">
        <is>
          <t>Hastane (Kurumsal)</t>
        </is>
      </c>
      <c r="E362" s="43" t="inlineStr">
        <is>
          <t>Lead Toplama (Form)</t>
        </is>
      </c>
      <c r="F362" s="43" t="inlineStr">
        <is>
          <t>Lead - İK/İş Başvurusu</t>
        </is>
      </c>
      <c r="G362" s="83" t="n">
        <v>1085.97</v>
      </c>
      <c r="H362" s="43" t="inlineStr">
        <is>
          <t>Potansiyel müşteriler (form)</t>
        </is>
      </c>
      <c r="I362" s="46" t="n">
        <v>3</v>
      </c>
      <c r="J362" s="46" t="n">
        <v>8503</v>
      </c>
      <c r="K362" s="46" t="n">
        <v>14358</v>
      </c>
    </row>
    <row r="363">
      <c r="A363" s="47" t="inlineStr">
        <is>
          <t>Doruk Hastaneleri</t>
        </is>
      </c>
      <c r="B363" s="47" t="inlineStr">
        <is>
          <t>ABO / Meme Estetiği / plastik cerrahi / lead</t>
        </is>
      </c>
      <c r="C363" s="50" t="inlineStr">
        <is>
          <t>2026-07-01</t>
        </is>
      </c>
      <c r="D363" s="47" t="inlineStr">
        <is>
          <t>Hastane (Kurumsal)</t>
        </is>
      </c>
      <c r="E363" s="47" t="inlineStr">
        <is>
          <t>Lead Toplama (Form)</t>
        </is>
      </c>
      <c r="F363" s="47" t="inlineStr">
        <is>
          <t>Lead - Estetik/Plastik/Saç</t>
        </is>
      </c>
      <c r="G363" s="84" t="n">
        <v>1085.06</v>
      </c>
      <c r="H363" s="47" t="inlineStr">
        <is>
          <t>Potansiyel müşteriler (form)</t>
        </is>
      </c>
      <c r="I363" s="50" t="n">
        <v>3</v>
      </c>
      <c r="J363" s="50" t="n">
        <v>7362</v>
      </c>
      <c r="K363" s="50" t="n">
        <v>9835</v>
      </c>
    </row>
    <row r="364">
      <c r="A364" s="43" t="inlineStr">
        <is>
          <t>Doruk Hastaneleri</t>
        </is>
      </c>
      <c r="B364" s="43" t="inlineStr">
        <is>
          <t>Uzman Hekim Başvuru</t>
        </is>
      </c>
      <c r="C364" s="46" t="inlineStr">
        <is>
          <t>2026-07-15</t>
        </is>
      </c>
      <c r="D364" s="43" t="inlineStr">
        <is>
          <t>Hastane (Kurumsal)</t>
        </is>
      </c>
      <c r="E364" s="43" t="inlineStr">
        <is>
          <t>Lead Toplama (Form)</t>
        </is>
      </c>
      <c r="F364" s="43" t="inlineStr">
        <is>
          <t>Lead - İK/İş Başvurusu</t>
        </is>
      </c>
      <c r="G364" s="83" t="n">
        <v>1083.71</v>
      </c>
      <c r="H364" s="43" t="inlineStr">
        <is>
          <t>Potansiyel müşteriler (form)</t>
        </is>
      </c>
      <c r="I364" s="46" t="n">
        <v>5</v>
      </c>
      <c r="J364" s="46" t="n">
        <v>6905</v>
      </c>
      <c r="K364" s="46" t="n">
        <v>8499</v>
      </c>
    </row>
    <row r="365">
      <c r="A365" s="47" t="inlineStr">
        <is>
          <t>Doruk Hastaneleri</t>
        </is>
      </c>
      <c r="B365" s="47" t="inlineStr">
        <is>
          <t>Uzman Hekim Başvuru</t>
        </is>
      </c>
      <c r="C365" s="50" t="inlineStr">
        <is>
          <t>2026-06-23</t>
        </is>
      </c>
      <c r="D365" s="47" t="inlineStr">
        <is>
          <t>Hastane (Kurumsal)</t>
        </is>
      </c>
      <c r="E365" s="47" t="inlineStr">
        <is>
          <t>Lead Toplama (Form)</t>
        </is>
      </c>
      <c r="F365" s="47" t="inlineStr">
        <is>
          <t>Lead - İK/İş Başvurusu</t>
        </is>
      </c>
      <c r="G365" s="84" t="n">
        <v>1081.07</v>
      </c>
      <c r="H365" s="47" t="inlineStr">
        <is>
          <t>Potansiyel müşteriler (form)</t>
        </is>
      </c>
      <c r="I365" s="50" t="n">
        <v>8</v>
      </c>
      <c r="J365" s="50" t="n">
        <v>7232</v>
      </c>
      <c r="K365" s="50" t="n">
        <v>9386</v>
      </c>
    </row>
    <row r="366">
      <c r="A366" s="43" t="inlineStr">
        <is>
          <t>Doruk Hastaneleri</t>
        </is>
      </c>
      <c r="B366" s="43" t="inlineStr">
        <is>
          <t>ABO / Meme Estetiği / plastik cerrahi / lead</t>
        </is>
      </c>
      <c r="C366" s="46" t="inlineStr">
        <is>
          <t>2026-07-13</t>
        </is>
      </c>
      <c r="D366" s="43" t="inlineStr">
        <is>
          <t>Hastane (Kurumsal)</t>
        </is>
      </c>
      <c r="E366" s="43" t="inlineStr">
        <is>
          <t>Lead Toplama (Form)</t>
        </is>
      </c>
      <c r="F366" s="43" t="inlineStr">
        <is>
          <t>Lead - Estetik/Plastik/Saç</t>
        </is>
      </c>
      <c r="G366" s="83" t="n">
        <v>1074.15</v>
      </c>
      <c r="H366" s="43" t="inlineStr">
        <is>
          <t>Potansiyel müşteriler (form)</t>
        </is>
      </c>
      <c r="I366" s="46" t="n">
        <v>4</v>
      </c>
      <c r="J366" s="46" t="n">
        <v>5819</v>
      </c>
      <c r="K366" s="46" t="n">
        <v>8359</v>
      </c>
    </row>
    <row r="367">
      <c r="A367" s="47" t="inlineStr">
        <is>
          <t>Doruk Hastaneleri</t>
        </is>
      </c>
      <c r="B367" s="47" t="inlineStr">
        <is>
          <t>Uzman Hekim Başvuru</t>
        </is>
      </c>
      <c r="C367" s="50" t="inlineStr">
        <is>
          <t>2026-06-28</t>
        </is>
      </c>
      <c r="D367" s="47" t="inlineStr">
        <is>
          <t>Hastane (Kurumsal)</t>
        </is>
      </c>
      <c r="E367" s="47" t="inlineStr">
        <is>
          <t>Lead Toplama (Form)</t>
        </is>
      </c>
      <c r="F367" s="47" t="inlineStr">
        <is>
          <t>Lead - İK/İş Başvurusu</t>
        </is>
      </c>
      <c r="G367" s="84" t="n">
        <v>1068.86</v>
      </c>
      <c r="H367" s="47" t="inlineStr">
        <is>
          <t>Potansiyel müşteriler (form)</t>
        </is>
      </c>
      <c r="I367" s="50" t="n">
        <v>5</v>
      </c>
      <c r="J367" s="50" t="n">
        <v>5537</v>
      </c>
      <c r="K367" s="50" t="n">
        <v>7131</v>
      </c>
    </row>
    <row r="368">
      <c r="A368" s="43" t="inlineStr">
        <is>
          <t>Doruk Hastaneleri</t>
        </is>
      </c>
      <c r="B368" s="43" t="inlineStr">
        <is>
          <t>CBO / Saç Ekimi - lead / soğuk</t>
        </is>
      </c>
      <c r="C368" s="46" t="inlineStr">
        <is>
          <t>2026-07-02</t>
        </is>
      </c>
      <c r="D368" s="43" t="inlineStr">
        <is>
          <t>Hastane (Kurumsal)</t>
        </is>
      </c>
      <c r="E368" s="43" t="inlineStr">
        <is>
          <t>Lead Toplama (Form)</t>
        </is>
      </c>
      <c r="F368" s="43" t="inlineStr">
        <is>
          <t>Lead - Estetik/Plastik/Saç</t>
        </is>
      </c>
      <c r="G368" s="83" t="n">
        <v>1064.67</v>
      </c>
      <c r="H368" s="43" t="inlineStr"/>
      <c r="I368" s="46" t="n">
        <v>0</v>
      </c>
      <c r="J368" s="46" t="n">
        <v>3329</v>
      </c>
      <c r="K368" s="46" t="n">
        <v>5358</v>
      </c>
    </row>
    <row r="369">
      <c r="A369" s="47" t="inlineStr">
        <is>
          <t>Doruk Hastaneleri</t>
        </is>
      </c>
      <c r="B369" s="47" t="inlineStr">
        <is>
          <t>ABO / Meme Estetiği / plastik cerrahi / lead</t>
        </is>
      </c>
      <c r="C369" s="50" t="inlineStr">
        <is>
          <t>2026-07-08</t>
        </is>
      </c>
      <c r="D369" s="47" t="inlineStr">
        <is>
          <t>Hastane (Kurumsal)</t>
        </is>
      </c>
      <c r="E369" s="47" t="inlineStr">
        <is>
          <t>Lead Toplama (Form)</t>
        </is>
      </c>
      <c r="F369" s="47" t="inlineStr">
        <is>
          <t>Lead - Estetik/Plastik/Saç</t>
        </is>
      </c>
      <c r="G369" s="84" t="n">
        <v>1064.24</v>
      </c>
      <c r="H369" s="47" t="inlineStr">
        <is>
          <t>Potansiyel müşteriler (form)</t>
        </is>
      </c>
      <c r="I369" s="50" t="n">
        <v>6</v>
      </c>
      <c r="J369" s="50" t="n">
        <v>7955</v>
      </c>
      <c r="K369" s="50" t="n">
        <v>10260</v>
      </c>
    </row>
    <row r="370">
      <c r="A370" s="43" t="inlineStr">
        <is>
          <t>Doruk Hastaneleri</t>
        </is>
      </c>
      <c r="B370" s="43" t="inlineStr">
        <is>
          <t>Checkup - genel - lead</t>
        </is>
      </c>
      <c r="C370" s="46" t="inlineStr">
        <is>
          <t>2026-06-23</t>
        </is>
      </c>
      <c r="D370" s="43" t="inlineStr">
        <is>
          <t>Hastane (Kurumsal)</t>
        </is>
      </c>
      <c r="E370" s="43" t="inlineStr">
        <is>
          <t>Lead Toplama (Form)</t>
        </is>
      </c>
      <c r="F370" s="43" t="inlineStr">
        <is>
          <t>Lead - Check-up/Tarama</t>
        </is>
      </c>
      <c r="G370" s="83" t="n">
        <v>1059.16</v>
      </c>
      <c r="H370" s="43" t="inlineStr">
        <is>
          <t>Potansiyel müşteriler (form)</t>
        </is>
      </c>
      <c r="I370" s="46" t="n">
        <v>2</v>
      </c>
      <c r="J370" s="46" t="n">
        <v>7826</v>
      </c>
      <c r="K370" s="46" t="n">
        <v>10134</v>
      </c>
    </row>
    <row r="371">
      <c r="A371" s="47" t="inlineStr">
        <is>
          <t>Doruk Hastaneleri</t>
        </is>
      </c>
      <c r="B371" s="47" t="inlineStr">
        <is>
          <t>CBO / Saç Ekimi - lead / soğuk</t>
        </is>
      </c>
      <c r="C371" s="50" t="inlineStr">
        <is>
          <t>2026-07-10</t>
        </is>
      </c>
      <c r="D371" s="47" t="inlineStr">
        <is>
          <t>Hastane (Kurumsal)</t>
        </is>
      </c>
      <c r="E371" s="47" t="inlineStr">
        <is>
          <t>Lead Toplama (Form)</t>
        </is>
      </c>
      <c r="F371" s="47" t="inlineStr">
        <is>
          <t>Lead - Estetik/Plastik/Saç</t>
        </is>
      </c>
      <c r="G371" s="84" t="n">
        <v>1054.18</v>
      </c>
      <c r="H371" s="47" t="inlineStr"/>
      <c r="I371" s="50" t="n">
        <v>0</v>
      </c>
      <c r="J371" s="50" t="n">
        <v>4425</v>
      </c>
      <c r="K371" s="50" t="n">
        <v>7306</v>
      </c>
    </row>
    <row r="372">
      <c r="A372" s="43" t="inlineStr">
        <is>
          <t>Doruk Hastaneleri</t>
        </is>
      </c>
      <c r="B372" s="43" t="inlineStr">
        <is>
          <t>Checkup - genel - lead</t>
        </is>
      </c>
      <c r="C372" s="46" t="inlineStr">
        <is>
          <t>2026-07-03</t>
        </is>
      </c>
      <c r="D372" s="43" t="inlineStr">
        <is>
          <t>Hastane (Kurumsal)</t>
        </is>
      </c>
      <c r="E372" s="43" t="inlineStr">
        <is>
          <t>Lead Toplama (Form)</t>
        </is>
      </c>
      <c r="F372" s="43" t="inlineStr">
        <is>
          <t>Lead - Check-up/Tarama</t>
        </is>
      </c>
      <c r="G372" s="83" t="n">
        <v>1053.64</v>
      </c>
      <c r="H372" s="43" t="inlineStr">
        <is>
          <t>Potansiyel müşteriler (form)</t>
        </is>
      </c>
      <c r="I372" s="46" t="n">
        <v>2</v>
      </c>
      <c r="J372" s="46" t="n">
        <v>7225</v>
      </c>
      <c r="K372" s="46" t="n">
        <v>9705</v>
      </c>
    </row>
    <row r="373">
      <c r="A373" s="47" t="inlineStr">
        <is>
          <t>Doruk Hastaneleri</t>
        </is>
      </c>
      <c r="B373" s="47" t="inlineStr">
        <is>
          <t>Uzman Hekim Başvuru</t>
        </is>
      </c>
      <c r="C373" s="50" t="inlineStr">
        <is>
          <t>2026-07-04</t>
        </is>
      </c>
      <c r="D373" s="47" t="inlineStr">
        <is>
          <t>Hastane (Kurumsal)</t>
        </is>
      </c>
      <c r="E373" s="47" t="inlineStr">
        <is>
          <t>Lead Toplama (Form)</t>
        </is>
      </c>
      <c r="F373" s="47" t="inlineStr">
        <is>
          <t>Lead - İK/İş Başvurusu</t>
        </is>
      </c>
      <c r="G373" s="84" t="n">
        <v>1053.01</v>
      </c>
      <c r="H373" s="47" t="inlineStr">
        <is>
          <t>Potansiyel müşteriler (form)</t>
        </is>
      </c>
      <c r="I373" s="50" t="n">
        <v>1</v>
      </c>
      <c r="J373" s="50" t="n">
        <v>6506</v>
      </c>
      <c r="K373" s="50" t="n">
        <v>7972</v>
      </c>
    </row>
    <row r="374">
      <c r="A374" s="43" t="inlineStr">
        <is>
          <t>Doruk Hastaneleri</t>
        </is>
      </c>
      <c r="B374" s="43" t="inlineStr">
        <is>
          <t>CBO / Saç Ekimi - lead / soğuk</t>
        </is>
      </c>
      <c r="C374" s="46" t="inlineStr">
        <is>
          <t>2026-06-26</t>
        </is>
      </c>
      <c r="D374" s="43" t="inlineStr">
        <is>
          <t>Hastane (Kurumsal)</t>
        </is>
      </c>
      <c r="E374" s="43" t="inlineStr">
        <is>
          <t>Lead Toplama (Form)</t>
        </is>
      </c>
      <c r="F374" s="43" t="inlineStr">
        <is>
          <t>Lead - Estetik/Plastik/Saç</t>
        </is>
      </c>
      <c r="G374" s="83" t="n">
        <v>1048.97</v>
      </c>
      <c r="H374" s="43" t="inlineStr">
        <is>
          <t>Potansiyel müşteriler (form)</t>
        </is>
      </c>
      <c r="I374" s="46" t="n">
        <v>2</v>
      </c>
      <c r="J374" s="46" t="n">
        <v>5141</v>
      </c>
      <c r="K374" s="46" t="n">
        <v>7020</v>
      </c>
    </row>
    <row r="375">
      <c r="A375" s="47" t="inlineStr">
        <is>
          <t>Doruk Hastaneleri</t>
        </is>
      </c>
      <c r="B375" s="47" t="inlineStr">
        <is>
          <t>ABO / Meme Estetiği / plastik cerrahi / lead</t>
        </is>
      </c>
      <c r="C375" s="50" t="inlineStr">
        <is>
          <t>2026-07-10</t>
        </is>
      </c>
      <c r="D375" s="47" t="inlineStr">
        <is>
          <t>Hastane (Kurumsal)</t>
        </is>
      </c>
      <c r="E375" s="47" t="inlineStr">
        <is>
          <t>Lead Toplama (Form)</t>
        </is>
      </c>
      <c r="F375" s="47" t="inlineStr">
        <is>
          <t>Lead - Estetik/Plastik/Saç</t>
        </is>
      </c>
      <c r="G375" s="84" t="n">
        <v>1047.38</v>
      </c>
      <c r="H375" s="47" t="inlineStr">
        <is>
          <t>Potansiyel müşteriler (form)</t>
        </is>
      </c>
      <c r="I375" s="50" t="n">
        <v>4</v>
      </c>
      <c r="J375" s="50" t="n">
        <v>5807</v>
      </c>
      <c r="K375" s="50" t="n">
        <v>7817</v>
      </c>
    </row>
    <row r="376">
      <c r="A376" s="43" t="inlineStr">
        <is>
          <t>Doruk Hastaneleri</t>
        </is>
      </c>
      <c r="B376" s="43" t="inlineStr">
        <is>
          <t>Hemşire İş Başvuru - lead</t>
        </is>
      </c>
      <c r="C376" s="46" t="inlineStr">
        <is>
          <t>2026-06-23</t>
        </is>
      </c>
      <c r="D376" s="43" t="inlineStr">
        <is>
          <t>Hastane (Kurumsal)</t>
        </is>
      </c>
      <c r="E376" s="43" t="inlineStr">
        <is>
          <t>Lead Toplama (Form)</t>
        </is>
      </c>
      <c r="F376" s="43" t="inlineStr">
        <is>
          <t>Lead - İK/İş Başvurusu</t>
        </is>
      </c>
      <c r="G376" s="83" t="n">
        <v>1040.95</v>
      </c>
      <c r="H376" s="43" t="inlineStr">
        <is>
          <t>Potansiyel müşteriler (form)</t>
        </is>
      </c>
      <c r="I376" s="46" t="n">
        <v>1</v>
      </c>
      <c r="J376" s="46" t="n">
        <v>12187</v>
      </c>
      <c r="K376" s="46" t="n">
        <v>18220</v>
      </c>
    </row>
    <row r="377">
      <c r="A377" s="47" t="inlineStr">
        <is>
          <t>Doruk Hastaneleri</t>
        </is>
      </c>
      <c r="B377" s="47" t="inlineStr">
        <is>
          <t>ABO / Meme Estetiği / plastik cerrahi / lead</t>
        </is>
      </c>
      <c r="C377" s="50" t="inlineStr">
        <is>
          <t>2026-07-03</t>
        </is>
      </c>
      <c r="D377" s="47" t="inlineStr">
        <is>
          <t>Hastane (Kurumsal)</t>
        </is>
      </c>
      <c r="E377" s="47" t="inlineStr">
        <is>
          <t>Lead Toplama (Form)</t>
        </is>
      </c>
      <c r="F377" s="47" t="inlineStr">
        <is>
          <t>Lead - Estetik/Plastik/Saç</t>
        </is>
      </c>
      <c r="G377" s="84" t="n">
        <v>1039.91</v>
      </c>
      <c r="H377" s="47" t="inlineStr">
        <is>
          <t>Potansiyel müşteriler (form)</t>
        </is>
      </c>
      <c r="I377" s="50" t="n">
        <v>4</v>
      </c>
      <c r="J377" s="50" t="n">
        <v>5840</v>
      </c>
      <c r="K377" s="50" t="n">
        <v>8241</v>
      </c>
    </row>
    <row r="378">
      <c r="A378" s="43" t="inlineStr">
        <is>
          <t>Doruk Hastaneleri</t>
        </is>
      </c>
      <c r="B378" s="43" t="inlineStr">
        <is>
          <t>Checkup - genel - lead</t>
        </is>
      </c>
      <c r="C378" s="46" t="inlineStr">
        <is>
          <t>2026-07-04</t>
        </is>
      </c>
      <c r="D378" s="43" t="inlineStr">
        <is>
          <t>Hastane (Kurumsal)</t>
        </is>
      </c>
      <c r="E378" s="43" t="inlineStr">
        <is>
          <t>Lead Toplama (Form)</t>
        </is>
      </c>
      <c r="F378" s="43" t="inlineStr">
        <is>
          <t>Lead - Check-up/Tarama</t>
        </is>
      </c>
      <c r="G378" s="83" t="n">
        <v>1035.1</v>
      </c>
      <c r="H378" s="43" t="inlineStr">
        <is>
          <t>Potansiyel müşteriler (form)</t>
        </is>
      </c>
      <c r="I378" s="46" t="n">
        <v>1</v>
      </c>
      <c r="J378" s="46" t="n">
        <v>8007</v>
      </c>
      <c r="K378" s="46" t="n">
        <v>10087</v>
      </c>
    </row>
    <row r="379">
      <c r="A379" s="47" t="inlineStr">
        <is>
          <t>Doruk Hastaneleri</t>
        </is>
      </c>
      <c r="B379" s="47" t="inlineStr">
        <is>
          <t>ABO / Meme Estetiği / plastik cerrahi / lead</t>
        </is>
      </c>
      <c r="C379" s="50" t="inlineStr">
        <is>
          <t>2026-07-16</t>
        </is>
      </c>
      <c r="D379" s="47" t="inlineStr">
        <is>
          <t>Hastane (Kurumsal)</t>
        </is>
      </c>
      <c r="E379" s="47" t="inlineStr">
        <is>
          <t>Lead Toplama (Form)</t>
        </is>
      </c>
      <c r="F379" s="47" t="inlineStr">
        <is>
          <t>Lead - Estetik/Plastik/Saç</t>
        </is>
      </c>
      <c r="G379" s="84" t="n">
        <v>1033.57</v>
      </c>
      <c r="H379" s="47" t="inlineStr">
        <is>
          <t>Potansiyel müşteriler (form)</t>
        </is>
      </c>
      <c r="I379" s="50" t="n">
        <v>4</v>
      </c>
      <c r="J379" s="50" t="n">
        <v>6390</v>
      </c>
      <c r="K379" s="50" t="n">
        <v>8981</v>
      </c>
    </row>
    <row r="380">
      <c r="A380" s="43" t="inlineStr">
        <is>
          <t>Doruk Hastaneleri</t>
        </is>
      </c>
      <c r="B380" s="43" t="inlineStr">
        <is>
          <t>Uzman Hekim Başvuru</t>
        </is>
      </c>
      <c r="C380" s="46" t="inlineStr">
        <is>
          <t>2026-07-13</t>
        </is>
      </c>
      <c r="D380" s="43" t="inlineStr">
        <is>
          <t>Hastane (Kurumsal)</t>
        </is>
      </c>
      <c r="E380" s="43" t="inlineStr">
        <is>
          <t>Lead Toplama (Form)</t>
        </is>
      </c>
      <c r="F380" s="43" t="inlineStr">
        <is>
          <t>Lead - İK/İş Başvurusu</t>
        </is>
      </c>
      <c r="G380" s="83" t="n">
        <v>1032.95</v>
      </c>
      <c r="H380" s="43" t="inlineStr">
        <is>
          <t>Potansiyel müşteriler (form)</t>
        </is>
      </c>
      <c r="I380" s="46" t="n">
        <v>2</v>
      </c>
      <c r="J380" s="46" t="n">
        <v>7594</v>
      </c>
      <c r="K380" s="46" t="n">
        <v>10048</v>
      </c>
    </row>
    <row r="381">
      <c r="A381" s="47" t="inlineStr">
        <is>
          <t>Doruk Hastaneleri</t>
        </is>
      </c>
      <c r="B381" s="47" t="inlineStr">
        <is>
          <t>Uzman Hekim Başvuru</t>
        </is>
      </c>
      <c r="C381" s="50" t="inlineStr">
        <is>
          <t>2026-07-03</t>
        </is>
      </c>
      <c r="D381" s="47" t="inlineStr">
        <is>
          <t>Hastane (Kurumsal)</t>
        </is>
      </c>
      <c r="E381" s="47" t="inlineStr">
        <is>
          <t>Lead Toplama (Form)</t>
        </is>
      </c>
      <c r="F381" s="47" t="inlineStr">
        <is>
          <t>Lead - İK/İş Başvurusu</t>
        </is>
      </c>
      <c r="G381" s="84" t="n">
        <v>1022.3</v>
      </c>
      <c r="H381" s="47" t="inlineStr">
        <is>
          <t>Potansiyel müşteriler (form)</t>
        </is>
      </c>
      <c r="I381" s="50" t="n">
        <v>6</v>
      </c>
      <c r="J381" s="50" t="n">
        <v>6978</v>
      </c>
      <c r="K381" s="50" t="n">
        <v>9440</v>
      </c>
    </row>
    <row r="382">
      <c r="A382" s="43" t="inlineStr">
        <is>
          <t>Doruk Hastaneleri</t>
        </is>
      </c>
      <c r="B382" s="43" t="inlineStr">
        <is>
          <t>Hemşire İş Başvuru - lead</t>
        </is>
      </c>
      <c r="C382" s="46" t="inlineStr">
        <is>
          <t>2026-07-04</t>
        </is>
      </c>
      <c r="D382" s="43" t="inlineStr">
        <is>
          <t>Hastane (Kurumsal)</t>
        </is>
      </c>
      <c r="E382" s="43" t="inlineStr">
        <is>
          <t>Lead Toplama (Form)</t>
        </is>
      </c>
      <c r="F382" s="43" t="inlineStr">
        <is>
          <t>Lead - İK/İş Başvurusu</t>
        </is>
      </c>
      <c r="G382" s="83" t="n">
        <v>1019.06</v>
      </c>
      <c r="H382" s="43" t="inlineStr">
        <is>
          <t>Potansiyel müşteriler (form)</t>
        </is>
      </c>
      <c r="I382" s="46" t="n">
        <v>8</v>
      </c>
      <c r="J382" s="46" t="n">
        <v>10920</v>
      </c>
      <c r="K382" s="46" t="n">
        <v>17155</v>
      </c>
    </row>
    <row r="383">
      <c r="A383" s="47" t="inlineStr">
        <is>
          <t>Doruk Hastaneleri</t>
        </is>
      </c>
      <c r="B383" s="47" t="inlineStr">
        <is>
          <t>Checkup - genel - lead</t>
        </is>
      </c>
      <c r="C383" s="50" t="inlineStr">
        <is>
          <t>2026-07-15</t>
        </is>
      </c>
      <c r="D383" s="47" t="inlineStr">
        <is>
          <t>Hastane (Kurumsal)</t>
        </is>
      </c>
      <c r="E383" s="47" t="inlineStr">
        <is>
          <t>Lead Toplama (Form)</t>
        </is>
      </c>
      <c r="F383" s="47" t="inlineStr">
        <is>
          <t>Lead - Check-up/Tarama</t>
        </is>
      </c>
      <c r="G383" s="84" t="n">
        <v>1018.24</v>
      </c>
      <c r="H383" s="47" t="inlineStr">
        <is>
          <t>Potansiyel müşteriler (form)</t>
        </is>
      </c>
      <c r="I383" s="50" t="n">
        <v>4</v>
      </c>
      <c r="J383" s="50" t="n">
        <v>9034</v>
      </c>
      <c r="K383" s="50" t="n">
        <v>11684</v>
      </c>
    </row>
    <row r="384">
      <c r="A384" s="43" t="inlineStr">
        <is>
          <t>Doruk Hastaneleri</t>
        </is>
      </c>
      <c r="B384" s="43" t="inlineStr">
        <is>
          <t>Hemşire İş Başvuru - lead</t>
        </is>
      </c>
      <c r="C384" s="46" t="inlineStr">
        <is>
          <t>2026-07-03</t>
        </is>
      </c>
      <c r="D384" s="43" t="inlineStr">
        <is>
          <t>Hastane (Kurumsal)</t>
        </is>
      </c>
      <c r="E384" s="43" t="inlineStr">
        <is>
          <t>Lead Toplama (Form)</t>
        </is>
      </c>
      <c r="F384" s="43" t="inlineStr">
        <is>
          <t>Lead - İK/İş Başvurusu</t>
        </is>
      </c>
      <c r="G384" s="83" t="n">
        <v>1013.24</v>
      </c>
      <c r="H384" s="43" t="inlineStr">
        <is>
          <t>Potansiyel müşteriler (form)</t>
        </is>
      </c>
      <c r="I384" s="46" t="n">
        <v>6</v>
      </c>
      <c r="J384" s="46" t="n">
        <v>9211</v>
      </c>
      <c r="K384" s="46" t="n">
        <v>16474</v>
      </c>
    </row>
    <row r="385">
      <c r="A385" s="47" t="inlineStr">
        <is>
          <t>Doruk Hastaneleri</t>
        </is>
      </c>
      <c r="B385" s="47" t="inlineStr">
        <is>
          <t>CBO / Saç Ekimi - lead / soğuk</t>
        </is>
      </c>
      <c r="C385" s="50" t="inlineStr">
        <is>
          <t>2026-07-03</t>
        </is>
      </c>
      <c r="D385" s="47" t="inlineStr">
        <is>
          <t>Hastane (Kurumsal)</t>
        </is>
      </c>
      <c r="E385" s="47" t="inlineStr">
        <is>
          <t>Lead Toplama (Form)</t>
        </is>
      </c>
      <c r="F385" s="47" t="inlineStr">
        <is>
          <t>Lead - Estetik/Plastik/Saç</t>
        </is>
      </c>
      <c r="G385" s="84" t="n">
        <v>1005.41</v>
      </c>
      <c r="H385" s="47" t="inlineStr">
        <is>
          <t>Potansiyel müşteriler (form)</t>
        </is>
      </c>
      <c r="I385" s="50" t="n">
        <v>2</v>
      </c>
      <c r="J385" s="50" t="n">
        <v>2584</v>
      </c>
      <c r="K385" s="50" t="n">
        <v>4747</v>
      </c>
    </row>
    <row r="386">
      <c r="A386" s="43" t="inlineStr">
        <is>
          <t>Doruk Hastaneleri</t>
        </is>
      </c>
      <c r="B386" s="43" t="inlineStr">
        <is>
          <t>Uzman Hekim Başvuru</t>
        </is>
      </c>
      <c r="C386" s="46" t="inlineStr">
        <is>
          <t>2026-07-02</t>
        </is>
      </c>
      <c r="D386" s="43" t="inlineStr">
        <is>
          <t>Hastane (Kurumsal)</t>
        </is>
      </c>
      <c r="E386" s="43" t="inlineStr">
        <is>
          <t>Lead Toplama (Form)</t>
        </is>
      </c>
      <c r="F386" s="43" t="inlineStr">
        <is>
          <t>Lead - İK/İş Başvurusu</t>
        </is>
      </c>
      <c r="G386" s="83" t="n">
        <v>1002.56</v>
      </c>
      <c r="H386" s="43" t="inlineStr">
        <is>
          <t>Potansiyel müşteriler (form)</t>
        </is>
      </c>
      <c r="I386" s="46" t="n">
        <v>6</v>
      </c>
      <c r="J386" s="46" t="n">
        <v>7240</v>
      </c>
      <c r="K386" s="46" t="n">
        <v>9430</v>
      </c>
    </row>
    <row r="387">
      <c r="A387" s="47" t="inlineStr">
        <is>
          <t>Doruk Hastaneleri</t>
        </is>
      </c>
      <c r="B387" s="47" t="inlineStr">
        <is>
          <t>Hemşire İş Başvuru - lead</t>
        </is>
      </c>
      <c r="C387" s="50" t="inlineStr">
        <is>
          <t>2026-07-15</t>
        </is>
      </c>
      <c r="D387" s="47" t="inlineStr">
        <is>
          <t>Hastane (Kurumsal)</t>
        </is>
      </c>
      <c r="E387" s="47" t="inlineStr">
        <is>
          <t>Lead Toplama (Form)</t>
        </is>
      </c>
      <c r="F387" s="47" t="inlineStr">
        <is>
          <t>Lead - İK/İş Başvurusu</t>
        </is>
      </c>
      <c r="G387" s="84" t="n">
        <v>993.74</v>
      </c>
      <c r="H387" s="47" t="inlineStr">
        <is>
          <t>Potansiyel müşteriler (form)</t>
        </is>
      </c>
      <c r="I387" s="50" t="n">
        <v>3</v>
      </c>
      <c r="J387" s="50" t="n">
        <v>12003</v>
      </c>
      <c r="K387" s="50" t="n">
        <v>18103</v>
      </c>
    </row>
    <row r="388">
      <c r="A388" s="43" t="inlineStr">
        <is>
          <t>Doruk Hastaneleri</t>
        </is>
      </c>
      <c r="B388" s="43" t="inlineStr">
        <is>
          <t>ABO / Meme Estetiği / plastik cerrahi / lead</t>
        </is>
      </c>
      <c r="C388" s="46" t="inlineStr">
        <is>
          <t>2026-07-04</t>
        </is>
      </c>
      <c r="D388" s="43" t="inlineStr">
        <is>
          <t>Hastane (Kurumsal)</t>
        </is>
      </c>
      <c r="E388" s="43" t="inlineStr">
        <is>
          <t>Lead Toplama (Form)</t>
        </is>
      </c>
      <c r="F388" s="43" t="inlineStr">
        <is>
          <t>Lead - Estetik/Plastik/Saç</t>
        </is>
      </c>
      <c r="G388" s="83" t="n">
        <v>980.33</v>
      </c>
      <c r="H388" s="43" t="inlineStr">
        <is>
          <t>Potansiyel müşteriler (form)</t>
        </is>
      </c>
      <c r="I388" s="46" t="n">
        <v>4</v>
      </c>
      <c r="J388" s="46" t="n">
        <v>8342</v>
      </c>
      <c r="K388" s="46" t="n">
        <v>10878</v>
      </c>
    </row>
    <row r="389">
      <c r="A389" s="47" t="inlineStr">
        <is>
          <t>Doruk Hastaneleri</t>
        </is>
      </c>
      <c r="B389" s="47" t="inlineStr">
        <is>
          <t>Hemşire İş Başvuru - lead</t>
        </is>
      </c>
      <c r="C389" s="50" t="inlineStr">
        <is>
          <t>2026-07-17</t>
        </is>
      </c>
      <c r="D389" s="47" t="inlineStr">
        <is>
          <t>Hastane (Kurumsal)</t>
        </is>
      </c>
      <c r="E389" s="47" t="inlineStr">
        <is>
          <t>Lead Toplama (Form)</t>
        </is>
      </c>
      <c r="F389" s="47" t="inlineStr">
        <is>
          <t>Lead - İK/İş Başvurusu</t>
        </is>
      </c>
      <c r="G389" s="84" t="n">
        <v>980.21</v>
      </c>
      <c r="H389" s="47" t="inlineStr">
        <is>
          <t>Potansiyel müşteriler (form)</t>
        </is>
      </c>
      <c r="I389" s="50" t="n">
        <v>3</v>
      </c>
      <c r="J389" s="50" t="n">
        <v>11336</v>
      </c>
      <c r="K389" s="50" t="n">
        <v>17281</v>
      </c>
    </row>
    <row r="390">
      <c r="A390" s="43" t="inlineStr">
        <is>
          <t>Doruk Hastaneleri</t>
        </is>
      </c>
      <c r="B390" s="43" t="inlineStr">
        <is>
          <t>ABO / Rinoplasti / plastik cerrahi / lead</t>
        </is>
      </c>
      <c r="C390" s="46" t="inlineStr">
        <is>
          <t>2026-06-27</t>
        </is>
      </c>
      <c r="D390" s="43" t="inlineStr">
        <is>
          <t>Hastane (Kurumsal)</t>
        </is>
      </c>
      <c r="E390" s="43" t="inlineStr">
        <is>
          <t>Lead Toplama (Form)</t>
        </is>
      </c>
      <c r="F390" s="43" t="inlineStr">
        <is>
          <t>Lead - Estetik/Plastik/Saç</t>
        </is>
      </c>
      <c r="G390" s="83" t="n">
        <v>979.61</v>
      </c>
      <c r="H390" s="43" t="inlineStr">
        <is>
          <t>Potansiyel müşteriler (form)</t>
        </is>
      </c>
      <c r="I390" s="46" t="n">
        <v>3</v>
      </c>
      <c r="J390" s="46" t="n">
        <v>5329</v>
      </c>
      <c r="K390" s="46" t="n">
        <v>7147</v>
      </c>
    </row>
    <row r="391">
      <c r="A391" s="47" t="inlineStr">
        <is>
          <t>Doruk Hastaneleri</t>
        </is>
      </c>
      <c r="B391" s="47" t="inlineStr">
        <is>
          <t>Checkup - genel - lead</t>
        </is>
      </c>
      <c r="C391" s="50" t="inlineStr">
        <is>
          <t>2026-07-20</t>
        </is>
      </c>
      <c r="D391" s="47" t="inlineStr">
        <is>
          <t>Hastane (Kurumsal)</t>
        </is>
      </c>
      <c r="E391" s="47" t="inlineStr">
        <is>
          <t>Lead Toplama (Form)</t>
        </is>
      </c>
      <c r="F391" s="47" t="inlineStr">
        <is>
          <t>Lead - Check-up/Tarama</t>
        </is>
      </c>
      <c r="G391" s="84" t="n">
        <v>978.8099999999999</v>
      </c>
      <c r="H391" s="47" t="inlineStr">
        <is>
          <t>Potansiyel müşteriler (form)</t>
        </is>
      </c>
      <c r="I391" s="50" t="n">
        <v>3</v>
      </c>
      <c r="J391" s="50" t="n">
        <v>5884</v>
      </c>
      <c r="K391" s="50" t="n">
        <v>8344</v>
      </c>
    </row>
    <row r="392">
      <c r="A392" s="43" t="inlineStr">
        <is>
          <t>Doruk Hastaneleri</t>
        </is>
      </c>
      <c r="B392" s="43" t="inlineStr">
        <is>
          <t>ABO / Meme Estetiği / plastik cerrahi / lead</t>
        </is>
      </c>
      <c r="C392" s="46" t="inlineStr">
        <is>
          <t>2026-07-02</t>
        </is>
      </c>
      <c r="D392" s="43" t="inlineStr">
        <is>
          <t>Hastane (Kurumsal)</t>
        </is>
      </c>
      <c r="E392" s="43" t="inlineStr">
        <is>
          <t>Lead Toplama (Form)</t>
        </is>
      </c>
      <c r="F392" s="43" t="inlineStr">
        <is>
          <t>Lead - Estetik/Plastik/Saç</t>
        </is>
      </c>
      <c r="G392" s="83" t="n">
        <v>975.11</v>
      </c>
      <c r="H392" s="43" t="inlineStr">
        <is>
          <t>Potansiyel müşteriler (form)</t>
        </is>
      </c>
      <c r="I392" s="46" t="n">
        <v>4</v>
      </c>
      <c r="J392" s="46" t="n">
        <v>6740</v>
      </c>
      <c r="K392" s="46" t="n">
        <v>9090</v>
      </c>
    </row>
    <row r="393">
      <c r="A393" s="47" t="inlineStr">
        <is>
          <t>Doruk Hastaneleri</t>
        </is>
      </c>
      <c r="B393" s="47" t="inlineStr">
        <is>
          <t>Hemşire İş Başvuru - lead</t>
        </is>
      </c>
      <c r="C393" s="50" t="inlineStr">
        <is>
          <t>2026-06-30</t>
        </is>
      </c>
      <c r="D393" s="47" t="inlineStr">
        <is>
          <t>Hastane (Kurumsal)</t>
        </is>
      </c>
      <c r="E393" s="47" t="inlineStr">
        <is>
          <t>Lead Toplama (Form)</t>
        </is>
      </c>
      <c r="F393" s="47" t="inlineStr">
        <is>
          <t>Lead - İK/İş Başvurusu</t>
        </is>
      </c>
      <c r="G393" s="84" t="n">
        <v>973.04</v>
      </c>
      <c r="H393" s="47" t="inlineStr">
        <is>
          <t>Potansiyel müşteriler (form)</t>
        </is>
      </c>
      <c r="I393" s="50" t="n">
        <v>4</v>
      </c>
      <c r="J393" s="50" t="n">
        <v>10490</v>
      </c>
      <c r="K393" s="50" t="n">
        <v>16223</v>
      </c>
    </row>
    <row r="394">
      <c r="A394" s="43" t="inlineStr">
        <is>
          <t>Doruk Hastaneleri</t>
        </is>
      </c>
      <c r="B394" s="43" t="inlineStr">
        <is>
          <t>Hemşire İş Başvuru - lead</t>
        </is>
      </c>
      <c r="C394" s="46" t="inlineStr">
        <is>
          <t>2026-07-02</t>
        </is>
      </c>
      <c r="D394" s="43" t="inlineStr">
        <is>
          <t>Hastane (Kurumsal)</t>
        </is>
      </c>
      <c r="E394" s="43" t="inlineStr">
        <is>
          <t>Lead Toplama (Form)</t>
        </is>
      </c>
      <c r="F394" s="43" t="inlineStr">
        <is>
          <t>Lead - İK/İş Başvurusu</t>
        </is>
      </c>
      <c r="G394" s="83" t="n">
        <v>970.05</v>
      </c>
      <c r="H394" s="43" t="inlineStr"/>
      <c r="I394" s="46" t="n">
        <v>0</v>
      </c>
      <c r="J394" s="46" t="n">
        <v>8657</v>
      </c>
      <c r="K394" s="46" t="n">
        <v>15325</v>
      </c>
    </row>
    <row r="395">
      <c r="A395" s="47" t="inlineStr">
        <is>
          <t>Doruk Hastaneleri</t>
        </is>
      </c>
      <c r="B395" s="47" t="inlineStr">
        <is>
          <t>ABO / Meme Estetiği / plastik cerrahi / lead</t>
        </is>
      </c>
      <c r="C395" s="50" t="inlineStr">
        <is>
          <t>2026-06-23</t>
        </is>
      </c>
      <c r="D395" s="47" t="inlineStr">
        <is>
          <t>Hastane (Kurumsal)</t>
        </is>
      </c>
      <c r="E395" s="47" t="inlineStr">
        <is>
          <t>Lead Toplama (Form)</t>
        </is>
      </c>
      <c r="F395" s="47" t="inlineStr">
        <is>
          <t>Lead - Estetik/Plastik/Saç</t>
        </is>
      </c>
      <c r="G395" s="84" t="n">
        <v>969.3099999999999</v>
      </c>
      <c r="H395" s="47" t="inlineStr">
        <is>
          <t>Potansiyel müşteriler (form)</t>
        </is>
      </c>
      <c r="I395" s="50" t="n">
        <v>3</v>
      </c>
      <c r="J395" s="50" t="n">
        <v>7088</v>
      </c>
      <c r="K395" s="50" t="n">
        <v>9279</v>
      </c>
    </row>
    <row r="396">
      <c r="A396" s="43" t="inlineStr">
        <is>
          <t>Doruk Hastaneleri</t>
        </is>
      </c>
      <c r="B396" s="43" t="inlineStr">
        <is>
          <t>CBO / Saç Ekimi - lead / soğuk</t>
        </is>
      </c>
      <c r="C396" s="46" t="inlineStr">
        <is>
          <t>2026-07-15</t>
        </is>
      </c>
      <c r="D396" s="43" t="inlineStr">
        <is>
          <t>Hastane (Kurumsal)</t>
        </is>
      </c>
      <c r="E396" s="43" t="inlineStr">
        <is>
          <t>Lead Toplama (Form)</t>
        </is>
      </c>
      <c r="F396" s="43" t="inlineStr">
        <is>
          <t>Lead - Estetik/Plastik/Saç</t>
        </is>
      </c>
      <c r="G396" s="83" t="n">
        <v>968.59</v>
      </c>
      <c r="H396" s="43" t="inlineStr">
        <is>
          <t>Potansiyel müşteriler (form)</t>
        </is>
      </c>
      <c r="I396" s="46" t="n">
        <v>4</v>
      </c>
      <c r="J396" s="46" t="n">
        <v>4243</v>
      </c>
      <c r="K396" s="46" t="n">
        <v>6714</v>
      </c>
    </row>
    <row r="397">
      <c r="A397" s="47" t="inlineStr">
        <is>
          <t>Doruk Hastaneleri</t>
        </is>
      </c>
      <c r="B397" s="47" t="inlineStr">
        <is>
          <t>ABO / Meme Estetiği / plastik cerrahi / lead</t>
        </is>
      </c>
      <c r="C397" s="50" t="inlineStr">
        <is>
          <t>2026-07-15</t>
        </is>
      </c>
      <c r="D397" s="47" t="inlineStr">
        <is>
          <t>Hastane (Kurumsal)</t>
        </is>
      </c>
      <c r="E397" s="47" t="inlineStr">
        <is>
          <t>Lead Toplama (Form)</t>
        </is>
      </c>
      <c r="F397" s="47" t="inlineStr">
        <is>
          <t>Lead - Estetik/Plastik/Saç</t>
        </is>
      </c>
      <c r="G397" s="84" t="n">
        <v>965.02</v>
      </c>
      <c r="H397" s="47" t="inlineStr">
        <is>
          <t>Potansiyel müşteriler (form)</t>
        </is>
      </c>
      <c r="I397" s="50" t="n">
        <v>1</v>
      </c>
      <c r="J397" s="50" t="n">
        <v>5950</v>
      </c>
      <c r="K397" s="50" t="n">
        <v>8373</v>
      </c>
    </row>
    <row r="398">
      <c r="A398" s="43" t="inlineStr">
        <is>
          <t>Doruk Hastaneleri</t>
        </is>
      </c>
      <c r="B398" s="43" t="inlineStr">
        <is>
          <t>ABO / Rinoplasti / plastik cerrahi / lead</t>
        </is>
      </c>
      <c r="C398" s="46" t="inlineStr">
        <is>
          <t>2026-07-18</t>
        </is>
      </c>
      <c r="D398" s="43" t="inlineStr">
        <is>
          <t>Hastane (Kurumsal)</t>
        </is>
      </c>
      <c r="E398" s="43" t="inlineStr">
        <is>
          <t>Lead Toplama (Form)</t>
        </is>
      </c>
      <c r="F398" s="43" t="inlineStr">
        <is>
          <t>Lead - Estetik/Plastik/Saç</t>
        </is>
      </c>
      <c r="G398" s="83" t="n">
        <v>956.58</v>
      </c>
      <c r="H398" s="43" t="inlineStr"/>
      <c r="I398" s="46" t="n">
        <v>0</v>
      </c>
      <c r="J398" s="46" t="n">
        <v>4684</v>
      </c>
      <c r="K398" s="46" t="n">
        <v>6664</v>
      </c>
    </row>
    <row r="399">
      <c r="A399" s="47" t="inlineStr">
        <is>
          <t>Doruk Hastaneleri</t>
        </is>
      </c>
      <c r="B399" s="47" t="inlineStr">
        <is>
          <t>ABO / Meme Estetiği / plastik cerrahi / lead</t>
        </is>
      </c>
      <c r="C399" s="50" t="inlineStr">
        <is>
          <t>2026-06-30</t>
        </is>
      </c>
      <c r="D399" s="47" t="inlineStr">
        <is>
          <t>Hastane (Kurumsal)</t>
        </is>
      </c>
      <c r="E399" s="47" t="inlineStr">
        <is>
          <t>Lead Toplama (Form)</t>
        </is>
      </c>
      <c r="F399" s="47" t="inlineStr">
        <is>
          <t>Lead - Estetik/Plastik/Saç</t>
        </is>
      </c>
      <c r="G399" s="84" t="n">
        <v>950.42</v>
      </c>
      <c r="H399" s="47" t="inlineStr">
        <is>
          <t>Potansiyel müşteriler (form)</t>
        </is>
      </c>
      <c r="I399" s="50" t="n">
        <v>2</v>
      </c>
      <c r="J399" s="50" t="n">
        <v>7276</v>
      </c>
      <c r="K399" s="50" t="n">
        <v>9472</v>
      </c>
    </row>
    <row r="400">
      <c r="A400" s="43" t="inlineStr">
        <is>
          <t>Doruk Hastaneleri</t>
        </is>
      </c>
      <c r="B400" s="43" t="inlineStr">
        <is>
          <t>ABO / Rinoplasti / plastik cerrahi / lead</t>
        </is>
      </c>
      <c r="C400" s="46" t="inlineStr">
        <is>
          <t>2026-06-28</t>
        </is>
      </c>
      <c r="D400" s="43" t="inlineStr">
        <is>
          <t>Hastane (Kurumsal)</t>
        </is>
      </c>
      <c r="E400" s="43" t="inlineStr">
        <is>
          <t>Lead Toplama (Form)</t>
        </is>
      </c>
      <c r="F400" s="43" t="inlineStr">
        <is>
          <t>Lead - Estetik/Plastik/Saç</t>
        </is>
      </c>
      <c r="G400" s="83" t="n">
        <v>948.74</v>
      </c>
      <c r="H400" s="43" t="inlineStr">
        <is>
          <t>Potansiyel müşteriler (form)</t>
        </is>
      </c>
      <c r="I400" s="46" t="n">
        <v>1</v>
      </c>
      <c r="J400" s="46" t="n">
        <v>3259</v>
      </c>
      <c r="K400" s="46" t="n">
        <v>4628</v>
      </c>
    </row>
    <row r="401">
      <c r="A401" s="47" t="inlineStr">
        <is>
          <t>Doruk Hastaneleri</t>
        </is>
      </c>
      <c r="B401" s="47" t="inlineStr">
        <is>
          <t>Uzman Hekim Başvuru</t>
        </is>
      </c>
      <c r="C401" s="50" t="inlineStr">
        <is>
          <t>2026-06-30</t>
        </is>
      </c>
      <c r="D401" s="47" t="inlineStr">
        <is>
          <t>Hastane (Kurumsal)</t>
        </is>
      </c>
      <c r="E401" s="47" t="inlineStr">
        <is>
          <t>Lead Toplama (Form)</t>
        </is>
      </c>
      <c r="F401" s="47" t="inlineStr">
        <is>
          <t>Lead - İK/İş Başvurusu</t>
        </is>
      </c>
      <c r="G401" s="84" t="n">
        <v>939.45</v>
      </c>
      <c r="H401" s="47" t="inlineStr">
        <is>
          <t>Potansiyel müşteriler (form)</t>
        </is>
      </c>
      <c r="I401" s="50" t="n">
        <v>3</v>
      </c>
      <c r="J401" s="50" t="n">
        <v>6092</v>
      </c>
      <c r="K401" s="50" t="n">
        <v>7892</v>
      </c>
    </row>
    <row r="402">
      <c r="A402" s="43" t="inlineStr">
        <is>
          <t>Doruk Hastaneleri</t>
        </is>
      </c>
      <c r="B402" s="43" t="inlineStr">
        <is>
          <t>CBO / Saç Ekimi - lead / soğuk</t>
        </is>
      </c>
      <c r="C402" s="46" t="inlineStr">
        <is>
          <t>2026-06-30</t>
        </is>
      </c>
      <c r="D402" s="43" t="inlineStr">
        <is>
          <t>Hastane (Kurumsal)</t>
        </is>
      </c>
      <c r="E402" s="43" t="inlineStr">
        <is>
          <t>Lead Toplama (Form)</t>
        </is>
      </c>
      <c r="F402" s="43" t="inlineStr">
        <is>
          <t>Lead - Estetik/Plastik/Saç</t>
        </is>
      </c>
      <c r="G402" s="83" t="n">
        <v>929.83</v>
      </c>
      <c r="H402" s="43" t="inlineStr">
        <is>
          <t>Potansiyel müşteriler (form)</t>
        </is>
      </c>
      <c r="I402" s="46" t="n">
        <v>3</v>
      </c>
      <c r="J402" s="46" t="n">
        <v>4180</v>
      </c>
      <c r="K402" s="46" t="n">
        <v>5973</v>
      </c>
    </row>
    <row r="403">
      <c r="A403" s="47" t="inlineStr">
        <is>
          <t>Doruk Hastaneleri</t>
        </is>
      </c>
      <c r="B403" s="47" t="inlineStr">
        <is>
          <t>Checkup - genel - lead</t>
        </is>
      </c>
      <c r="C403" s="50" t="inlineStr">
        <is>
          <t>2026-07-13</t>
        </is>
      </c>
      <c r="D403" s="47" t="inlineStr">
        <is>
          <t>Hastane (Kurumsal)</t>
        </is>
      </c>
      <c r="E403" s="47" t="inlineStr">
        <is>
          <t>Lead Toplama (Form)</t>
        </is>
      </c>
      <c r="F403" s="47" t="inlineStr">
        <is>
          <t>Lead - Check-up/Tarama</t>
        </is>
      </c>
      <c r="G403" s="84" t="n">
        <v>927.3099999999999</v>
      </c>
      <c r="H403" s="47" t="inlineStr"/>
      <c r="I403" s="50" t="n">
        <v>0</v>
      </c>
      <c r="J403" s="50" t="n">
        <v>7234</v>
      </c>
      <c r="K403" s="50" t="n">
        <v>9769</v>
      </c>
    </row>
    <row r="404">
      <c r="A404" s="43" t="inlineStr">
        <is>
          <t>Doruk Hastaneleri</t>
        </is>
      </c>
      <c r="B404" s="43" t="inlineStr">
        <is>
          <t>CBO / Saç Ekimi - lead / soğuk</t>
        </is>
      </c>
      <c r="C404" s="46" t="inlineStr">
        <is>
          <t>2026-07-16</t>
        </is>
      </c>
      <c r="D404" s="43" t="inlineStr">
        <is>
          <t>Hastane (Kurumsal)</t>
        </is>
      </c>
      <c r="E404" s="43" t="inlineStr">
        <is>
          <t>Lead Toplama (Form)</t>
        </is>
      </c>
      <c r="F404" s="43" t="inlineStr">
        <is>
          <t>Lead - Estetik/Plastik/Saç</t>
        </is>
      </c>
      <c r="G404" s="83" t="n">
        <v>924.98</v>
      </c>
      <c r="H404" s="43" t="inlineStr">
        <is>
          <t>Potansiyel müşteriler (form)</t>
        </is>
      </c>
      <c r="I404" s="46" t="n">
        <v>3</v>
      </c>
      <c r="J404" s="46" t="n">
        <v>4694</v>
      </c>
      <c r="K404" s="46" t="n">
        <v>6905</v>
      </c>
    </row>
    <row r="405">
      <c r="A405" s="47" t="inlineStr">
        <is>
          <t>Doruk Hastaneleri</t>
        </is>
      </c>
      <c r="B405" s="47" t="inlineStr">
        <is>
          <t>ABO / Rinoplasti / plastik cerrahi / lead</t>
        </is>
      </c>
      <c r="C405" s="50" t="inlineStr">
        <is>
          <t>2026-07-01</t>
        </is>
      </c>
      <c r="D405" s="47" t="inlineStr">
        <is>
          <t>Hastane (Kurumsal)</t>
        </is>
      </c>
      <c r="E405" s="47" t="inlineStr">
        <is>
          <t>Lead Toplama (Form)</t>
        </is>
      </c>
      <c r="F405" s="47" t="inlineStr">
        <is>
          <t>Lead - Estetik/Plastik/Saç</t>
        </is>
      </c>
      <c r="G405" s="84" t="n">
        <v>910.99</v>
      </c>
      <c r="H405" s="47" t="inlineStr">
        <is>
          <t>Potansiyel müşteriler (form)</t>
        </is>
      </c>
      <c r="I405" s="50" t="n">
        <v>3</v>
      </c>
      <c r="J405" s="50" t="n">
        <v>2765</v>
      </c>
      <c r="K405" s="50" t="n">
        <v>3982</v>
      </c>
    </row>
    <row r="406">
      <c r="A406" s="43" t="inlineStr">
        <is>
          <t>Doruk Hastaneleri</t>
        </is>
      </c>
      <c r="B406" s="43" t="inlineStr">
        <is>
          <t>CBO / Saç Ekimi - lead / soğuk</t>
        </is>
      </c>
      <c r="C406" s="46" t="inlineStr">
        <is>
          <t>2026-07-20</t>
        </is>
      </c>
      <c r="D406" s="43" t="inlineStr">
        <is>
          <t>Hastane (Kurumsal)</t>
        </is>
      </c>
      <c r="E406" s="43" t="inlineStr">
        <is>
          <t>Lead Toplama (Form)</t>
        </is>
      </c>
      <c r="F406" s="43" t="inlineStr">
        <is>
          <t>Lead - Estetik/Plastik/Saç</t>
        </is>
      </c>
      <c r="G406" s="83" t="n">
        <v>904.88</v>
      </c>
      <c r="H406" s="43" t="inlineStr"/>
      <c r="I406" s="46" t="n">
        <v>0</v>
      </c>
      <c r="J406" s="46" t="n">
        <v>4775</v>
      </c>
      <c r="K406" s="46" t="n">
        <v>7455</v>
      </c>
    </row>
    <row r="407">
      <c r="A407" s="47" t="inlineStr">
        <is>
          <t>Doruk Hastaneleri</t>
        </is>
      </c>
      <c r="B407" s="47" t="inlineStr">
        <is>
          <t>ABO / Rinoplasti / plastik cerrahi / lead</t>
        </is>
      </c>
      <c r="C407" s="50" t="inlineStr">
        <is>
          <t>2026-06-26</t>
        </is>
      </c>
      <c r="D407" s="47" t="inlineStr">
        <is>
          <t>Hastane (Kurumsal)</t>
        </is>
      </c>
      <c r="E407" s="47" t="inlineStr">
        <is>
          <t>Lead Toplama (Form)</t>
        </is>
      </c>
      <c r="F407" s="47" t="inlineStr">
        <is>
          <t>Lead - Estetik/Plastik/Saç</t>
        </is>
      </c>
      <c r="G407" s="84" t="n">
        <v>899.37</v>
      </c>
      <c r="H407" s="47" t="inlineStr">
        <is>
          <t>Potansiyel müşteriler (form)</t>
        </is>
      </c>
      <c r="I407" s="50" t="n">
        <v>2</v>
      </c>
      <c r="J407" s="50" t="n">
        <v>3764</v>
      </c>
      <c r="K407" s="50" t="n">
        <v>4906</v>
      </c>
    </row>
    <row r="408">
      <c r="A408" s="43" t="inlineStr">
        <is>
          <t>Doruk Hastaneleri</t>
        </is>
      </c>
      <c r="B408" s="43" t="inlineStr">
        <is>
          <t>Uzman Hekim Başvuru</t>
        </is>
      </c>
      <c r="C408" s="46" t="inlineStr">
        <is>
          <t>2026-07-20</t>
        </is>
      </c>
      <c r="D408" s="43" t="inlineStr">
        <is>
          <t>Hastane (Kurumsal)</t>
        </is>
      </c>
      <c r="E408" s="43" t="inlineStr">
        <is>
          <t>Lead Toplama (Form)</t>
        </is>
      </c>
      <c r="F408" s="43" t="inlineStr">
        <is>
          <t>Lead - İK/İş Başvurusu</t>
        </is>
      </c>
      <c r="G408" s="83" t="n">
        <v>891.77</v>
      </c>
      <c r="H408" s="43" t="inlineStr">
        <is>
          <t>Potansiyel müşteriler (form)</t>
        </is>
      </c>
      <c r="I408" s="46" t="n">
        <v>3</v>
      </c>
      <c r="J408" s="46" t="n">
        <v>5847</v>
      </c>
      <c r="K408" s="46" t="n">
        <v>7644</v>
      </c>
    </row>
    <row r="409">
      <c r="A409" s="47" t="inlineStr">
        <is>
          <t>Doruk Hastaneleri</t>
        </is>
      </c>
      <c r="B409" s="47" t="inlineStr">
        <is>
          <t>ABO / Rinoplasti / plastik cerrahi / lead</t>
        </is>
      </c>
      <c r="C409" s="50" t="inlineStr">
        <is>
          <t>2026-07-08</t>
        </is>
      </c>
      <c r="D409" s="47" t="inlineStr">
        <is>
          <t>Hastane (Kurumsal)</t>
        </is>
      </c>
      <c r="E409" s="47" t="inlineStr">
        <is>
          <t>Lead Toplama (Form)</t>
        </is>
      </c>
      <c r="F409" s="47" t="inlineStr">
        <is>
          <t>Lead - Estetik/Plastik/Saç</t>
        </is>
      </c>
      <c r="G409" s="84" t="n">
        <v>883.64</v>
      </c>
      <c r="H409" s="47" t="inlineStr"/>
      <c r="I409" s="50" t="n">
        <v>0</v>
      </c>
      <c r="J409" s="50" t="n">
        <v>3345</v>
      </c>
      <c r="K409" s="50" t="n">
        <v>4879</v>
      </c>
    </row>
    <row r="410">
      <c r="A410" s="43" t="inlineStr">
        <is>
          <t>Doruk Hastaneleri</t>
        </is>
      </c>
      <c r="B410" s="43" t="inlineStr">
        <is>
          <t>ABO / Rinoplasti / plastik cerrahi / lead</t>
        </is>
      </c>
      <c r="C410" s="46" t="inlineStr">
        <is>
          <t>2026-06-23</t>
        </is>
      </c>
      <c r="D410" s="43" t="inlineStr">
        <is>
          <t>Hastane (Kurumsal)</t>
        </is>
      </c>
      <c r="E410" s="43" t="inlineStr">
        <is>
          <t>Lead Toplama (Form)</t>
        </is>
      </c>
      <c r="F410" s="43" t="inlineStr">
        <is>
          <t>Lead - Estetik/Plastik/Saç</t>
        </is>
      </c>
      <c r="G410" s="83" t="n">
        <v>883.0599999999999</v>
      </c>
      <c r="H410" s="43" t="inlineStr"/>
      <c r="I410" s="46" t="n">
        <v>0</v>
      </c>
      <c r="J410" s="46" t="n">
        <v>3076</v>
      </c>
      <c r="K410" s="46" t="n">
        <v>4289</v>
      </c>
    </row>
    <row r="411">
      <c r="A411" s="47" t="inlineStr">
        <is>
          <t>Doruk Hastaneleri</t>
        </is>
      </c>
      <c r="B411" s="47" t="inlineStr">
        <is>
          <t>Uzman Hekim Başvuru</t>
        </is>
      </c>
      <c r="C411" s="50" t="inlineStr">
        <is>
          <t>2026-07-17</t>
        </is>
      </c>
      <c r="D411" s="47" t="inlineStr">
        <is>
          <t>Hastane (Kurumsal)</t>
        </is>
      </c>
      <c r="E411" s="47" t="inlineStr">
        <is>
          <t>Lead Toplama (Form)</t>
        </is>
      </c>
      <c r="F411" s="47" t="inlineStr">
        <is>
          <t>Lead - İK/İş Başvurusu</t>
        </is>
      </c>
      <c r="G411" s="84" t="n">
        <v>880.75</v>
      </c>
      <c r="H411" s="47" t="inlineStr">
        <is>
          <t>Potansiyel müşteriler (form)</t>
        </is>
      </c>
      <c r="I411" s="50" t="n">
        <v>1</v>
      </c>
      <c r="J411" s="50" t="n">
        <v>5125</v>
      </c>
      <c r="K411" s="50" t="n">
        <v>6158</v>
      </c>
    </row>
    <row r="412">
      <c r="A412" s="43" t="inlineStr">
        <is>
          <t>Doruk Hastaneleri</t>
        </is>
      </c>
      <c r="B412" s="43" t="inlineStr">
        <is>
          <t>CBO / Saç Ekimi - lead / soğuk</t>
        </is>
      </c>
      <c r="C412" s="46" t="inlineStr">
        <is>
          <t>2026-06-29</t>
        </is>
      </c>
      <c r="D412" s="43" t="inlineStr">
        <is>
          <t>Hastane (Kurumsal)</t>
        </is>
      </c>
      <c r="E412" s="43" t="inlineStr">
        <is>
          <t>Lead Toplama (Form)</t>
        </is>
      </c>
      <c r="F412" s="43" t="inlineStr">
        <is>
          <t>Lead - Estetik/Plastik/Saç</t>
        </is>
      </c>
      <c r="G412" s="83" t="n">
        <v>878.53</v>
      </c>
      <c r="H412" s="43" t="inlineStr">
        <is>
          <t>Potansiyel müşteriler (form)</t>
        </is>
      </c>
      <c r="I412" s="46" t="n">
        <v>1</v>
      </c>
      <c r="J412" s="46" t="n">
        <v>3527</v>
      </c>
      <c r="K412" s="46" t="n">
        <v>5121</v>
      </c>
    </row>
    <row r="413">
      <c r="A413" s="47" t="inlineStr">
        <is>
          <t>Doruk Hastaneleri</t>
        </is>
      </c>
      <c r="B413" s="47" t="inlineStr">
        <is>
          <t>ABO / Meme Estetiği / plastik cerrahi / lead</t>
        </is>
      </c>
      <c r="C413" s="50" t="inlineStr">
        <is>
          <t>2026-06-29</t>
        </is>
      </c>
      <c r="D413" s="47" t="inlineStr">
        <is>
          <t>Hastane (Kurumsal)</t>
        </is>
      </c>
      <c r="E413" s="47" t="inlineStr">
        <is>
          <t>Lead Toplama (Form)</t>
        </is>
      </c>
      <c r="F413" s="47" t="inlineStr">
        <is>
          <t>Lead - Estetik/Plastik/Saç</t>
        </is>
      </c>
      <c r="G413" s="84" t="n">
        <v>876.42</v>
      </c>
      <c r="H413" s="47" t="inlineStr">
        <is>
          <t>Potansiyel müşteriler (form)</t>
        </is>
      </c>
      <c r="I413" s="50" t="n">
        <v>3</v>
      </c>
      <c r="J413" s="50" t="n">
        <v>7242</v>
      </c>
      <c r="K413" s="50" t="n">
        <v>9601</v>
      </c>
    </row>
    <row r="414">
      <c r="A414" s="43" t="inlineStr">
        <is>
          <t>Doruk Hastaneleri</t>
        </is>
      </c>
      <c r="B414" s="43" t="inlineStr">
        <is>
          <t>Checkup - genel - lead</t>
        </is>
      </c>
      <c r="C414" s="46" t="inlineStr">
        <is>
          <t>2026-07-17</t>
        </is>
      </c>
      <c r="D414" s="43" t="inlineStr">
        <is>
          <t>Hastane (Kurumsal)</t>
        </is>
      </c>
      <c r="E414" s="43" t="inlineStr">
        <is>
          <t>Lead Toplama (Form)</t>
        </is>
      </c>
      <c r="F414" s="43" t="inlineStr">
        <is>
          <t>Lead - Check-up/Tarama</t>
        </is>
      </c>
      <c r="G414" s="83" t="n">
        <v>873.99</v>
      </c>
      <c r="H414" s="43" t="inlineStr">
        <is>
          <t>Potansiyel müşteriler (form)</t>
        </is>
      </c>
      <c r="I414" s="46" t="n">
        <v>4</v>
      </c>
      <c r="J414" s="46" t="n">
        <v>4754</v>
      </c>
      <c r="K414" s="46" t="n">
        <v>5976</v>
      </c>
    </row>
    <row r="415">
      <c r="A415" s="47" t="inlineStr">
        <is>
          <t>Doruk Hastaneleri</t>
        </is>
      </c>
      <c r="B415" s="47" t="inlineStr">
        <is>
          <t>Prostat Checkup - lead</t>
        </is>
      </c>
      <c r="C415" s="50" t="inlineStr">
        <is>
          <t>2026-06-27</t>
        </is>
      </c>
      <c r="D415" s="47" t="inlineStr">
        <is>
          <t>Hastane (Kurumsal)</t>
        </is>
      </c>
      <c r="E415" s="47" t="inlineStr">
        <is>
          <t>Lead Toplama (Form)</t>
        </is>
      </c>
      <c r="F415" s="47" t="inlineStr">
        <is>
          <t>Lead - Check-up/Tarama</t>
        </is>
      </c>
      <c r="G415" s="84" t="n">
        <v>866.54</v>
      </c>
      <c r="H415" s="47" t="inlineStr">
        <is>
          <t>Potansiyel müşteriler (form)</t>
        </is>
      </c>
      <c r="I415" s="50" t="n">
        <v>5</v>
      </c>
      <c r="J415" s="50" t="n">
        <v>7505</v>
      </c>
      <c r="K415" s="50" t="n">
        <v>10185</v>
      </c>
    </row>
    <row r="416">
      <c r="A416" s="43" t="inlineStr">
        <is>
          <t>Doruk Hastaneleri</t>
        </is>
      </c>
      <c r="B416" s="43" t="inlineStr">
        <is>
          <t>Checkup - genel - lead</t>
        </is>
      </c>
      <c r="C416" s="46" t="inlineStr">
        <is>
          <t>2026-06-30</t>
        </is>
      </c>
      <c r="D416" s="43" t="inlineStr">
        <is>
          <t>Hastane (Kurumsal)</t>
        </is>
      </c>
      <c r="E416" s="43" t="inlineStr">
        <is>
          <t>Lead Toplama (Form)</t>
        </is>
      </c>
      <c r="F416" s="43" t="inlineStr">
        <is>
          <t>Lead - Check-up/Tarama</t>
        </is>
      </c>
      <c r="G416" s="83" t="n">
        <v>863.74</v>
      </c>
      <c r="H416" s="43" t="inlineStr">
        <is>
          <t>Potansiyel müşteriler (form)</t>
        </is>
      </c>
      <c r="I416" s="46" t="n">
        <v>1</v>
      </c>
      <c r="J416" s="46" t="n">
        <v>7455</v>
      </c>
      <c r="K416" s="46" t="n">
        <v>9566</v>
      </c>
    </row>
    <row r="417">
      <c r="A417" s="47" t="inlineStr">
        <is>
          <t>Doruk Hastaneleri</t>
        </is>
      </c>
      <c r="B417" s="47" t="inlineStr">
        <is>
          <t>ABO / Rinoplasti / plastik cerrahi / lead</t>
        </is>
      </c>
      <c r="C417" s="50" t="inlineStr">
        <is>
          <t>2026-07-13</t>
        </is>
      </c>
      <c r="D417" s="47" t="inlineStr">
        <is>
          <t>Hastane (Kurumsal)</t>
        </is>
      </c>
      <c r="E417" s="47" t="inlineStr">
        <is>
          <t>Lead Toplama (Form)</t>
        </is>
      </c>
      <c r="F417" s="47" t="inlineStr">
        <is>
          <t>Lead - Estetik/Plastik/Saç</t>
        </is>
      </c>
      <c r="G417" s="84" t="n">
        <v>863.45</v>
      </c>
      <c r="H417" s="47" t="inlineStr">
        <is>
          <t>Potansiyel müşteriler (form)</t>
        </is>
      </c>
      <c r="I417" s="50" t="n">
        <v>2</v>
      </c>
      <c r="J417" s="50" t="n">
        <v>4157</v>
      </c>
      <c r="K417" s="50" t="n">
        <v>6447</v>
      </c>
    </row>
    <row r="418">
      <c r="A418" s="43" t="inlineStr">
        <is>
          <t>Doruk Hastaneleri</t>
        </is>
      </c>
      <c r="B418" s="43" t="inlineStr">
        <is>
          <t>Prostat Checkup - lead</t>
        </is>
      </c>
      <c r="C418" s="46" t="inlineStr">
        <is>
          <t>2026-07-18</t>
        </is>
      </c>
      <c r="D418" s="43" t="inlineStr">
        <is>
          <t>Hastane (Kurumsal)</t>
        </is>
      </c>
      <c r="E418" s="43" t="inlineStr">
        <is>
          <t>Lead Toplama (Form)</t>
        </is>
      </c>
      <c r="F418" s="43" t="inlineStr">
        <is>
          <t>Lead - Check-up/Tarama</t>
        </is>
      </c>
      <c r="G418" s="83" t="n">
        <v>861.55</v>
      </c>
      <c r="H418" s="43" t="inlineStr">
        <is>
          <t>Potansiyel müşteriler (form)</t>
        </is>
      </c>
      <c r="I418" s="46" t="n">
        <v>6</v>
      </c>
      <c r="J418" s="46" t="n">
        <v>10291</v>
      </c>
      <c r="K418" s="46" t="n">
        <v>14793</v>
      </c>
    </row>
    <row r="419">
      <c r="A419" s="47" t="inlineStr">
        <is>
          <t>Doruk Hastaneleri</t>
        </is>
      </c>
      <c r="B419" s="47" t="inlineStr">
        <is>
          <t>ABO / Meme Estetiği / plastik cerrahi / lead</t>
        </is>
      </c>
      <c r="C419" s="50" t="inlineStr">
        <is>
          <t>2026-07-20</t>
        </is>
      </c>
      <c r="D419" s="47" t="inlineStr">
        <is>
          <t>Hastane (Kurumsal)</t>
        </is>
      </c>
      <c r="E419" s="47" t="inlineStr">
        <is>
          <t>Lead Toplama (Form)</t>
        </is>
      </c>
      <c r="F419" s="47" t="inlineStr">
        <is>
          <t>Lead - Estetik/Plastik/Saç</t>
        </is>
      </c>
      <c r="G419" s="84" t="n">
        <v>856.3099999999999</v>
      </c>
      <c r="H419" s="47" t="inlineStr">
        <is>
          <t>Potansiyel müşteriler (form)</t>
        </is>
      </c>
      <c r="I419" s="50" t="n">
        <v>5</v>
      </c>
      <c r="J419" s="50" t="n">
        <v>5355</v>
      </c>
      <c r="K419" s="50" t="n">
        <v>7297</v>
      </c>
    </row>
    <row r="420">
      <c r="A420" s="43" t="inlineStr">
        <is>
          <t>Doruk Hastaneleri</t>
        </is>
      </c>
      <c r="B420" s="43" t="inlineStr">
        <is>
          <t>ABO / Rinoplasti / plastik cerrahi / lead</t>
        </is>
      </c>
      <c r="C420" s="46" t="inlineStr">
        <is>
          <t>2026-07-10</t>
        </is>
      </c>
      <c r="D420" s="43" t="inlineStr">
        <is>
          <t>Hastane (Kurumsal)</t>
        </is>
      </c>
      <c r="E420" s="43" t="inlineStr">
        <is>
          <t>Lead Toplama (Form)</t>
        </is>
      </c>
      <c r="F420" s="43" t="inlineStr">
        <is>
          <t>Lead - Estetik/Plastik/Saç</t>
        </is>
      </c>
      <c r="G420" s="83" t="n">
        <v>851.39</v>
      </c>
      <c r="H420" s="43" t="inlineStr">
        <is>
          <t>Potansiyel müşteriler (form)</t>
        </is>
      </c>
      <c r="I420" s="46" t="n">
        <v>1</v>
      </c>
      <c r="J420" s="46" t="n">
        <v>2719</v>
      </c>
      <c r="K420" s="46" t="n">
        <v>3965</v>
      </c>
    </row>
    <row r="421">
      <c r="A421" s="47" t="inlineStr">
        <is>
          <t>Doruk Hastaneleri</t>
        </is>
      </c>
      <c r="B421" s="47" t="inlineStr">
        <is>
          <t>CBO / Saç Ekimi - lead / soğuk</t>
        </is>
      </c>
      <c r="C421" s="50" t="inlineStr">
        <is>
          <t>2026-07-04</t>
        </is>
      </c>
      <c r="D421" s="47" t="inlineStr">
        <is>
          <t>Hastane (Kurumsal)</t>
        </is>
      </c>
      <c r="E421" s="47" t="inlineStr">
        <is>
          <t>Lead Toplama (Form)</t>
        </is>
      </c>
      <c r="F421" s="47" t="inlineStr">
        <is>
          <t>Lead - Estetik/Plastik/Saç</t>
        </is>
      </c>
      <c r="G421" s="84" t="n">
        <v>831.26</v>
      </c>
      <c r="H421" s="47" t="inlineStr">
        <is>
          <t>Potansiyel müşteriler (form)</t>
        </is>
      </c>
      <c r="I421" s="50" t="n">
        <v>1</v>
      </c>
      <c r="J421" s="50" t="n">
        <v>2788</v>
      </c>
      <c r="K421" s="50" t="n">
        <v>4485</v>
      </c>
    </row>
    <row r="422">
      <c r="A422" s="43" t="inlineStr">
        <is>
          <t>Doruk Hastaneleri</t>
        </is>
      </c>
      <c r="B422" s="43" t="inlineStr">
        <is>
          <t>Hemşire İş Başvuru - lead</t>
        </is>
      </c>
      <c r="C422" s="46" t="inlineStr">
        <is>
          <t>2026-07-20</t>
        </is>
      </c>
      <c r="D422" s="43" t="inlineStr">
        <is>
          <t>Hastane (Kurumsal)</t>
        </is>
      </c>
      <c r="E422" s="43" t="inlineStr">
        <is>
          <t>Lead Toplama (Form)</t>
        </is>
      </c>
      <c r="F422" s="43" t="inlineStr">
        <is>
          <t>Lead - İK/İş Başvurusu</t>
        </is>
      </c>
      <c r="G422" s="83" t="n">
        <v>829.13</v>
      </c>
      <c r="H422" s="43" t="inlineStr"/>
      <c r="I422" s="46" t="n">
        <v>0</v>
      </c>
      <c r="J422" s="46" t="n">
        <v>10403</v>
      </c>
      <c r="K422" s="46" t="n">
        <v>16082</v>
      </c>
    </row>
    <row r="423">
      <c r="A423" s="47" t="inlineStr">
        <is>
          <t>Doruk Hastaneleri</t>
        </is>
      </c>
      <c r="B423" s="47" t="inlineStr">
        <is>
          <t>ABO / Rinoplasti / plastik cerrahi / lead</t>
        </is>
      </c>
      <c r="C423" s="50" t="inlineStr">
        <is>
          <t>2026-07-02</t>
        </is>
      </c>
      <c r="D423" s="47" t="inlineStr">
        <is>
          <t>Hastane (Kurumsal)</t>
        </is>
      </c>
      <c r="E423" s="47" t="inlineStr">
        <is>
          <t>Lead Toplama (Form)</t>
        </is>
      </c>
      <c r="F423" s="47" t="inlineStr">
        <is>
          <t>Lead - Estetik/Plastik/Saç</t>
        </is>
      </c>
      <c r="G423" s="84" t="n">
        <v>821.66</v>
      </c>
      <c r="H423" s="47" t="inlineStr">
        <is>
          <t>Potansiyel müşteriler (form)</t>
        </is>
      </c>
      <c r="I423" s="50" t="n">
        <v>1</v>
      </c>
      <c r="J423" s="50" t="n">
        <v>2875</v>
      </c>
      <c r="K423" s="50" t="n">
        <v>4314</v>
      </c>
    </row>
    <row r="424">
      <c r="A424" s="43" t="inlineStr">
        <is>
          <t>Doruk Hastaneleri</t>
        </is>
      </c>
      <c r="B424" s="43" t="inlineStr">
        <is>
          <t>CBO / Saç Ekimi - lead / soğuk</t>
        </is>
      </c>
      <c r="C424" s="46" t="inlineStr">
        <is>
          <t>2026-06-24</t>
        </is>
      </c>
      <c r="D424" s="43" t="inlineStr">
        <is>
          <t>Hastane (Kurumsal)</t>
        </is>
      </c>
      <c r="E424" s="43" t="inlineStr">
        <is>
          <t>Lead Toplama (Form)</t>
        </is>
      </c>
      <c r="F424" s="43" t="inlineStr">
        <is>
          <t>Lead - Estetik/Plastik/Saç</t>
        </is>
      </c>
      <c r="G424" s="83" t="n">
        <v>814.17</v>
      </c>
      <c r="H424" s="43" t="inlineStr">
        <is>
          <t>Potansiyel müşteriler (form)</t>
        </is>
      </c>
      <c r="I424" s="46" t="n">
        <v>1</v>
      </c>
      <c r="J424" s="46" t="n">
        <v>4349</v>
      </c>
      <c r="K424" s="46" t="n">
        <v>5447</v>
      </c>
    </row>
    <row r="425">
      <c r="A425" s="47" t="inlineStr">
        <is>
          <t>Doruk Hastaneleri</t>
        </is>
      </c>
      <c r="B425" s="47" t="inlineStr">
        <is>
          <t>Hemşire İş Başvuru - lead</t>
        </is>
      </c>
      <c r="C425" s="50" t="inlineStr">
        <is>
          <t>2026-06-29</t>
        </is>
      </c>
      <c r="D425" s="47" t="inlineStr">
        <is>
          <t>Hastane (Kurumsal)</t>
        </is>
      </c>
      <c r="E425" s="47" t="inlineStr">
        <is>
          <t>Lead Toplama (Form)</t>
        </is>
      </c>
      <c r="F425" s="47" t="inlineStr">
        <is>
          <t>Lead - İK/İş Başvurusu</t>
        </is>
      </c>
      <c r="G425" s="84" t="n">
        <v>813.54</v>
      </c>
      <c r="H425" s="47" t="inlineStr">
        <is>
          <t>Potansiyel müşteriler (form)</t>
        </is>
      </c>
      <c r="I425" s="50" t="n">
        <v>1</v>
      </c>
      <c r="J425" s="50" t="n">
        <v>9260</v>
      </c>
      <c r="K425" s="50" t="n">
        <v>14215</v>
      </c>
    </row>
    <row r="426">
      <c r="A426" s="43" t="inlineStr">
        <is>
          <t>Doruk Hastaneleri</t>
        </is>
      </c>
      <c r="B426" s="43" t="inlineStr">
        <is>
          <t>ABO / Rinoplasti / plastik cerrahi / lead</t>
        </is>
      </c>
      <c r="C426" s="46" t="inlineStr">
        <is>
          <t>2026-07-03</t>
        </is>
      </c>
      <c r="D426" s="43" t="inlineStr">
        <is>
          <t>Hastane (Kurumsal)</t>
        </is>
      </c>
      <c r="E426" s="43" t="inlineStr">
        <is>
          <t>Lead Toplama (Form)</t>
        </is>
      </c>
      <c r="F426" s="43" t="inlineStr">
        <is>
          <t>Lead - Estetik/Plastik/Saç</t>
        </is>
      </c>
      <c r="G426" s="83" t="n">
        <v>801.45</v>
      </c>
      <c r="H426" s="43" t="inlineStr">
        <is>
          <t>Potansiyel müşteriler (form)</t>
        </is>
      </c>
      <c r="I426" s="46" t="n">
        <v>2</v>
      </c>
      <c r="J426" s="46" t="n">
        <v>2645</v>
      </c>
      <c r="K426" s="46" t="n">
        <v>4056</v>
      </c>
    </row>
    <row r="427">
      <c r="A427" s="47" t="inlineStr">
        <is>
          <t>Doruk Hastaneleri</t>
        </is>
      </c>
      <c r="B427" s="47" t="inlineStr">
        <is>
          <t>ABO / Meme Estetiği / plastik cerrahi / lead</t>
        </is>
      </c>
      <c r="C427" s="50" t="inlineStr">
        <is>
          <t>2026-07-17</t>
        </is>
      </c>
      <c r="D427" s="47" t="inlineStr">
        <is>
          <t>Hastane (Kurumsal)</t>
        </is>
      </c>
      <c r="E427" s="47" t="inlineStr">
        <is>
          <t>Lead Toplama (Form)</t>
        </is>
      </c>
      <c r="F427" s="47" t="inlineStr">
        <is>
          <t>Lead - Estetik/Plastik/Saç</t>
        </is>
      </c>
      <c r="G427" s="84" t="n">
        <v>793.0700000000001</v>
      </c>
      <c r="H427" s="47" t="inlineStr">
        <is>
          <t>Potansiyel müşteriler (form)</t>
        </is>
      </c>
      <c r="I427" s="50" t="n">
        <v>3</v>
      </c>
      <c r="J427" s="50" t="n">
        <v>3913</v>
      </c>
      <c r="K427" s="50" t="n">
        <v>5359</v>
      </c>
    </row>
    <row r="428">
      <c r="A428" s="43" t="inlineStr">
        <is>
          <t>Doruk Hastaneleri</t>
        </is>
      </c>
      <c r="B428" s="43" t="inlineStr">
        <is>
          <t>ABO / Rinoplasti / plastik cerrahi / lead</t>
        </is>
      </c>
      <c r="C428" s="46" t="inlineStr">
        <is>
          <t>2026-07-16</t>
        </is>
      </c>
      <c r="D428" s="43" t="inlineStr">
        <is>
          <t>Hastane (Kurumsal)</t>
        </is>
      </c>
      <c r="E428" s="43" t="inlineStr">
        <is>
          <t>Lead Toplama (Form)</t>
        </is>
      </c>
      <c r="F428" s="43" t="inlineStr">
        <is>
          <t>Lead - Estetik/Plastik/Saç</t>
        </is>
      </c>
      <c r="G428" s="83" t="n">
        <v>790.25</v>
      </c>
      <c r="H428" s="43" t="inlineStr">
        <is>
          <t>Potansiyel müşteriler (form)</t>
        </is>
      </c>
      <c r="I428" s="46" t="n">
        <v>1</v>
      </c>
      <c r="J428" s="46" t="n">
        <v>3607</v>
      </c>
      <c r="K428" s="46" t="n">
        <v>5201</v>
      </c>
    </row>
    <row r="429">
      <c r="A429" s="47" t="inlineStr">
        <is>
          <t>Doruk Hastaneleri</t>
        </is>
      </c>
      <c r="B429" s="47" t="inlineStr">
        <is>
          <t>ABO / Rinoplasti / plastik cerrahi / lead</t>
        </is>
      </c>
      <c r="C429" s="50" t="inlineStr">
        <is>
          <t>2026-07-20</t>
        </is>
      </c>
      <c r="D429" s="47" t="inlineStr">
        <is>
          <t>Hastane (Kurumsal)</t>
        </is>
      </c>
      <c r="E429" s="47" t="inlineStr">
        <is>
          <t>Lead Toplama (Form)</t>
        </is>
      </c>
      <c r="F429" s="47" t="inlineStr">
        <is>
          <t>Lead - Estetik/Plastik/Saç</t>
        </is>
      </c>
      <c r="G429" s="84" t="n">
        <v>781.66</v>
      </c>
      <c r="H429" s="47" t="inlineStr"/>
      <c r="I429" s="50" t="n">
        <v>0</v>
      </c>
      <c r="J429" s="50" t="n">
        <v>4307</v>
      </c>
      <c r="K429" s="50" t="n">
        <v>5841</v>
      </c>
    </row>
    <row r="430">
      <c r="A430" s="43" t="inlineStr">
        <is>
          <t>Doruk Hastaneleri</t>
        </is>
      </c>
      <c r="B430" s="43" t="inlineStr">
        <is>
          <t>Uzman Hekim Başvuru</t>
        </is>
      </c>
      <c r="C430" s="46" t="inlineStr">
        <is>
          <t>2026-06-29</t>
        </is>
      </c>
      <c r="D430" s="43" t="inlineStr">
        <is>
          <t>Hastane (Kurumsal)</t>
        </is>
      </c>
      <c r="E430" s="43" t="inlineStr">
        <is>
          <t>Lead Toplama (Form)</t>
        </is>
      </c>
      <c r="F430" s="43" t="inlineStr">
        <is>
          <t>Lead - İK/İş Başvurusu</t>
        </is>
      </c>
      <c r="G430" s="83" t="n">
        <v>781.58</v>
      </c>
      <c r="H430" s="43" t="inlineStr"/>
      <c r="I430" s="46" t="n">
        <v>0</v>
      </c>
      <c r="J430" s="46" t="n">
        <v>6117</v>
      </c>
      <c r="K430" s="46" t="n">
        <v>7431</v>
      </c>
    </row>
    <row r="431">
      <c r="A431" s="47" t="inlineStr">
        <is>
          <t>Doruk Hastaneleri</t>
        </is>
      </c>
      <c r="B431" s="47" t="inlineStr">
        <is>
          <t>ABO / Rinoplasti / plastik cerrahi / lead</t>
        </is>
      </c>
      <c r="C431" s="50" t="inlineStr">
        <is>
          <t>2026-07-15</t>
        </is>
      </c>
      <c r="D431" s="47" t="inlineStr">
        <is>
          <t>Hastane (Kurumsal)</t>
        </is>
      </c>
      <c r="E431" s="47" t="inlineStr">
        <is>
          <t>Lead Toplama (Form)</t>
        </is>
      </c>
      <c r="F431" s="47" t="inlineStr">
        <is>
          <t>Lead - Estetik/Plastik/Saç</t>
        </is>
      </c>
      <c r="G431" s="84" t="n">
        <v>757.84</v>
      </c>
      <c r="H431" s="47" t="inlineStr"/>
      <c r="I431" s="50" t="n">
        <v>0</v>
      </c>
      <c r="J431" s="50" t="n">
        <v>3538</v>
      </c>
      <c r="K431" s="50" t="n">
        <v>5006</v>
      </c>
    </row>
    <row r="432">
      <c r="A432" s="43" t="inlineStr">
        <is>
          <t>Doruk Hastaneleri</t>
        </is>
      </c>
      <c r="B432" s="43" t="inlineStr">
        <is>
          <t>CBO / Saç Ekimi - lead / soğuk</t>
        </is>
      </c>
      <c r="C432" s="46" t="inlineStr">
        <is>
          <t>2026-07-17</t>
        </is>
      </c>
      <c r="D432" s="43" t="inlineStr">
        <is>
          <t>Hastane (Kurumsal)</t>
        </is>
      </c>
      <c r="E432" s="43" t="inlineStr">
        <is>
          <t>Lead Toplama (Form)</t>
        </is>
      </c>
      <c r="F432" s="43" t="inlineStr">
        <is>
          <t>Lead - Estetik/Plastik/Saç</t>
        </is>
      </c>
      <c r="G432" s="83" t="n">
        <v>754.75</v>
      </c>
      <c r="H432" s="43" t="inlineStr">
        <is>
          <t>Potansiyel müşteriler (form)</t>
        </is>
      </c>
      <c r="I432" s="46" t="n">
        <v>1</v>
      </c>
      <c r="J432" s="46" t="n">
        <v>3269</v>
      </c>
      <c r="K432" s="46" t="n">
        <v>5027</v>
      </c>
    </row>
    <row r="433">
      <c r="A433" s="47" t="inlineStr">
        <is>
          <t>Doruk Hastaneleri</t>
        </is>
      </c>
      <c r="B433" s="47" t="inlineStr">
        <is>
          <t>FTR Yatılı - lead</t>
        </is>
      </c>
      <c r="C433" s="50" t="inlineStr">
        <is>
          <t>2026-07-21</t>
        </is>
      </c>
      <c r="D433" s="47" t="inlineStr">
        <is>
          <t>Hastane (Kurumsal)</t>
        </is>
      </c>
      <c r="E433" s="47" t="inlineStr">
        <is>
          <t>Lead Toplama (Form)</t>
        </is>
      </c>
      <c r="F433" s="47" t="inlineStr">
        <is>
          <t>Lead - Kadın Doğum/Gebe/FTR</t>
        </is>
      </c>
      <c r="G433" s="84" t="n">
        <v>754.22</v>
      </c>
      <c r="H433" s="47" t="inlineStr">
        <is>
          <t>Potansiyel müşteriler (form)</t>
        </is>
      </c>
      <c r="I433" s="50" t="n">
        <v>2</v>
      </c>
      <c r="J433" s="50" t="n">
        <v>10520</v>
      </c>
      <c r="K433" s="50" t="n">
        <v>11160</v>
      </c>
    </row>
    <row r="434">
      <c r="A434" s="43" t="inlineStr">
        <is>
          <t>Doruk Hastaneleri</t>
        </is>
      </c>
      <c r="B434" s="43" t="inlineStr">
        <is>
          <t>Prostat Checkup - lead</t>
        </is>
      </c>
      <c r="C434" s="46" t="inlineStr">
        <is>
          <t>2026-07-10</t>
        </is>
      </c>
      <c r="D434" s="43" t="inlineStr">
        <is>
          <t>Hastane (Kurumsal)</t>
        </is>
      </c>
      <c r="E434" s="43" t="inlineStr">
        <is>
          <t>Lead Toplama (Form)</t>
        </is>
      </c>
      <c r="F434" s="43" t="inlineStr">
        <is>
          <t>Lead - Check-up/Tarama</t>
        </is>
      </c>
      <c r="G434" s="83" t="n">
        <v>753.26</v>
      </c>
      <c r="H434" s="43" t="inlineStr">
        <is>
          <t>Potansiyel müşteriler (form)</t>
        </is>
      </c>
      <c r="I434" s="46" t="n">
        <v>6</v>
      </c>
      <c r="J434" s="46" t="n">
        <v>7629</v>
      </c>
      <c r="K434" s="46" t="n">
        <v>11110</v>
      </c>
    </row>
    <row r="435">
      <c r="A435" s="47" t="inlineStr">
        <is>
          <t>Doruk Hastaneleri</t>
        </is>
      </c>
      <c r="B435" s="47" t="inlineStr">
        <is>
          <t>Uzman Hekim Başvuru</t>
        </is>
      </c>
      <c r="C435" s="50" t="inlineStr">
        <is>
          <t>2026-06-24</t>
        </is>
      </c>
      <c r="D435" s="47" t="inlineStr">
        <is>
          <t>Hastane (Kurumsal)</t>
        </is>
      </c>
      <c r="E435" s="47" t="inlineStr">
        <is>
          <t>Lead Toplama (Form)</t>
        </is>
      </c>
      <c r="F435" s="47" t="inlineStr">
        <is>
          <t>Lead - İK/İş Başvurusu</t>
        </is>
      </c>
      <c r="G435" s="84" t="n">
        <v>749.17</v>
      </c>
      <c r="H435" s="47" t="inlineStr">
        <is>
          <t>Potansiyel müşteriler (form)</t>
        </is>
      </c>
      <c r="I435" s="50" t="n">
        <v>5</v>
      </c>
      <c r="J435" s="50" t="n">
        <v>6133</v>
      </c>
      <c r="K435" s="50" t="n">
        <v>7361</v>
      </c>
    </row>
    <row r="436">
      <c r="A436" s="43" t="inlineStr">
        <is>
          <t>Doruk Hastaneleri</t>
        </is>
      </c>
      <c r="B436" s="43" t="inlineStr">
        <is>
          <t>ABO / Rinoplasti / plastik cerrahi / lead</t>
        </is>
      </c>
      <c r="C436" s="46" t="inlineStr">
        <is>
          <t>2026-07-04</t>
        </is>
      </c>
      <c r="D436" s="43" t="inlineStr">
        <is>
          <t>Hastane (Kurumsal)</t>
        </is>
      </c>
      <c r="E436" s="43" t="inlineStr">
        <is>
          <t>Lead Toplama (Form)</t>
        </is>
      </c>
      <c r="F436" s="43" t="inlineStr">
        <is>
          <t>Lead - Estetik/Plastik/Saç</t>
        </is>
      </c>
      <c r="G436" s="83" t="n">
        <v>746.97</v>
      </c>
      <c r="H436" s="43" t="inlineStr"/>
      <c r="I436" s="46" t="n">
        <v>0</v>
      </c>
      <c r="J436" s="46" t="n">
        <v>4025</v>
      </c>
      <c r="K436" s="46" t="n">
        <v>5352</v>
      </c>
    </row>
    <row r="437">
      <c r="A437" s="47" t="inlineStr">
        <is>
          <t>Doruk Hastaneleri</t>
        </is>
      </c>
      <c r="B437" s="47" t="inlineStr">
        <is>
          <t>Hemşire İş Başvuru - lead</t>
        </is>
      </c>
      <c r="C437" s="50" t="inlineStr">
        <is>
          <t>2026-07-09</t>
        </is>
      </c>
      <c r="D437" s="47" t="inlineStr">
        <is>
          <t>Hastane (Kurumsal)</t>
        </is>
      </c>
      <c r="E437" s="47" t="inlineStr">
        <is>
          <t>Lead Toplama (Form)</t>
        </is>
      </c>
      <c r="F437" s="47" t="inlineStr">
        <is>
          <t>Lead - İK/İş Başvurusu</t>
        </is>
      </c>
      <c r="G437" s="84" t="n">
        <v>745.54</v>
      </c>
      <c r="H437" s="47" t="inlineStr">
        <is>
          <t>Potansiyel müşteriler (form)</t>
        </is>
      </c>
      <c r="I437" s="50" t="n">
        <v>1</v>
      </c>
      <c r="J437" s="50" t="n">
        <v>7003</v>
      </c>
      <c r="K437" s="50" t="n">
        <v>10520</v>
      </c>
    </row>
    <row r="438">
      <c r="A438" s="43" t="inlineStr">
        <is>
          <t>Doruk Hastaneleri</t>
        </is>
      </c>
      <c r="B438" s="43" t="inlineStr">
        <is>
          <t>Uzman Hekim Başvuru</t>
        </is>
      </c>
      <c r="C438" s="46" t="inlineStr">
        <is>
          <t>2026-07-09</t>
        </is>
      </c>
      <c r="D438" s="43" t="inlineStr">
        <is>
          <t>Hastane (Kurumsal)</t>
        </is>
      </c>
      <c r="E438" s="43" t="inlineStr">
        <is>
          <t>Lead Toplama (Form)</t>
        </is>
      </c>
      <c r="F438" s="43" t="inlineStr">
        <is>
          <t>Lead - İK/İş Başvurusu</t>
        </is>
      </c>
      <c r="G438" s="83" t="n">
        <v>741.58</v>
      </c>
      <c r="H438" s="43" t="inlineStr">
        <is>
          <t>Potansiyel müşteriler (form)</t>
        </is>
      </c>
      <c r="I438" s="46" t="n">
        <v>7</v>
      </c>
      <c r="J438" s="46" t="n">
        <v>3678</v>
      </c>
      <c r="K438" s="46" t="n">
        <v>4653</v>
      </c>
    </row>
    <row r="439">
      <c r="A439" s="47" t="inlineStr">
        <is>
          <t>Doruk Hastaneleri</t>
        </is>
      </c>
      <c r="B439" s="47" t="inlineStr">
        <is>
          <t>Checkup - genel - lead</t>
        </is>
      </c>
      <c r="C439" s="50" t="inlineStr">
        <is>
          <t>2026-07-09</t>
        </is>
      </c>
      <c r="D439" s="47" t="inlineStr">
        <is>
          <t>Hastane (Kurumsal)</t>
        </is>
      </c>
      <c r="E439" s="47" t="inlineStr">
        <is>
          <t>Lead Toplama (Form)</t>
        </is>
      </c>
      <c r="F439" s="47" t="inlineStr">
        <is>
          <t>Lead - Check-up/Tarama</t>
        </is>
      </c>
      <c r="G439" s="84" t="n">
        <v>732.37</v>
      </c>
      <c r="H439" s="47" t="inlineStr">
        <is>
          <t>Potansiyel müşteriler (form)</t>
        </is>
      </c>
      <c r="I439" s="50" t="n">
        <v>4</v>
      </c>
      <c r="J439" s="50" t="n">
        <v>4532</v>
      </c>
      <c r="K439" s="50" t="n">
        <v>5441</v>
      </c>
    </row>
    <row r="440">
      <c r="A440" s="43" t="inlineStr">
        <is>
          <t>Doruk Hastaneleri</t>
        </is>
      </c>
      <c r="B440" s="43" t="inlineStr">
        <is>
          <t>ABO / Rinoplasti / plastik cerrahi / lead</t>
        </is>
      </c>
      <c r="C440" s="46" t="inlineStr">
        <is>
          <t>2026-06-30</t>
        </is>
      </c>
      <c r="D440" s="43" t="inlineStr">
        <is>
          <t>Hastane (Kurumsal)</t>
        </is>
      </c>
      <c r="E440" s="43" t="inlineStr">
        <is>
          <t>Lead Toplama (Form)</t>
        </is>
      </c>
      <c r="F440" s="43" t="inlineStr">
        <is>
          <t>Lead - Estetik/Plastik/Saç</t>
        </is>
      </c>
      <c r="G440" s="83" t="n">
        <v>720.1900000000001</v>
      </c>
      <c r="H440" s="43" t="inlineStr"/>
      <c r="I440" s="46" t="n">
        <v>0</v>
      </c>
      <c r="J440" s="46" t="n">
        <v>3274</v>
      </c>
      <c r="K440" s="46" t="n">
        <v>4565</v>
      </c>
    </row>
    <row r="441">
      <c r="A441" s="47" t="inlineStr">
        <is>
          <t>Doruk Hastaneleri</t>
        </is>
      </c>
      <c r="B441" s="47" t="inlineStr">
        <is>
          <t>Hemşire İş Başvuru - lead</t>
        </is>
      </c>
      <c r="C441" s="50" t="inlineStr">
        <is>
          <t>2026-06-24</t>
        </is>
      </c>
      <c r="D441" s="47" t="inlineStr">
        <is>
          <t>Hastane (Kurumsal)</t>
        </is>
      </c>
      <c r="E441" s="47" t="inlineStr">
        <is>
          <t>Lead Toplama (Form)</t>
        </is>
      </c>
      <c r="F441" s="47" t="inlineStr">
        <is>
          <t>Lead - İK/İş Başvurusu</t>
        </is>
      </c>
      <c r="G441" s="84" t="n">
        <v>717.49</v>
      </c>
      <c r="H441" s="47" t="inlineStr"/>
      <c r="I441" s="50" t="n">
        <v>0</v>
      </c>
      <c r="J441" s="50" t="n">
        <v>9379</v>
      </c>
      <c r="K441" s="50" t="n">
        <v>13311</v>
      </c>
    </row>
    <row r="442">
      <c r="A442" s="43" t="inlineStr">
        <is>
          <t>Doruk Hastaneleri</t>
        </is>
      </c>
      <c r="B442" s="43" t="inlineStr">
        <is>
          <t>Prostat Checkup - lead</t>
        </is>
      </c>
      <c r="C442" s="46" t="inlineStr">
        <is>
          <t>2026-07-16</t>
        </is>
      </c>
      <c r="D442" s="43" t="inlineStr">
        <is>
          <t>Hastane (Kurumsal)</t>
        </is>
      </c>
      <c r="E442" s="43" t="inlineStr">
        <is>
          <t>Lead Toplama (Form)</t>
        </is>
      </c>
      <c r="F442" s="43" t="inlineStr">
        <is>
          <t>Lead - Check-up/Tarama</t>
        </is>
      </c>
      <c r="G442" s="83" t="n">
        <v>695.6900000000001</v>
      </c>
      <c r="H442" s="43" t="inlineStr">
        <is>
          <t>Potansiyel müşteriler (form)</t>
        </is>
      </c>
      <c r="I442" s="46" t="n">
        <v>6</v>
      </c>
      <c r="J442" s="46" t="n">
        <v>8008</v>
      </c>
      <c r="K442" s="46" t="n">
        <v>10406</v>
      </c>
    </row>
    <row r="443">
      <c r="A443" s="47" t="inlineStr">
        <is>
          <t>Doruk Hastaneleri</t>
        </is>
      </c>
      <c r="B443" s="47" t="inlineStr">
        <is>
          <t>Prostat Checkup - lead</t>
        </is>
      </c>
      <c r="C443" s="50" t="inlineStr">
        <is>
          <t>2026-06-26</t>
        </is>
      </c>
      <c r="D443" s="47" t="inlineStr">
        <is>
          <t>Hastane (Kurumsal)</t>
        </is>
      </c>
      <c r="E443" s="47" t="inlineStr">
        <is>
          <t>Lead Toplama (Form)</t>
        </is>
      </c>
      <c r="F443" s="47" t="inlineStr">
        <is>
          <t>Lead - Check-up/Tarama</t>
        </is>
      </c>
      <c r="G443" s="84" t="n">
        <v>688.96</v>
      </c>
      <c r="H443" s="47" t="inlineStr">
        <is>
          <t>Potansiyel müşteriler (form)</t>
        </is>
      </c>
      <c r="I443" s="50" t="n">
        <v>5</v>
      </c>
      <c r="J443" s="50" t="n">
        <v>7174</v>
      </c>
      <c r="K443" s="50" t="n">
        <v>9277</v>
      </c>
    </row>
    <row r="444">
      <c r="A444" s="43" t="inlineStr">
        <is>
          <t>Doruk Hastaneleri</t>
        </is>
      </c>
      <c r="B444" s="43" t="inlineStr">
        <is>
          <t>Prostat Checkup - lead</t>
        </is>
      </c>
      <c r="C444" s="46" t="inlineStr">
        <is>
          <t>2026-07-08</t>
        </is>
      </c>
      <c r="D444" s="43" t="inlineStr">
        <is>
          <t>Hastane (Kurumsal)</t>
        </is>
      </c>
      <c r="E444" s="43" t="inlineStr">
        <is>
          <t>Lead Toplama (Form)</t>
        </is>
      </c>
      <c r="F444" s="43" t="inlineStr">
        <is>
          <t>Lead - Check-up/Tarama</t>
        </is>
      </c>
      <c r="G444" s="83" t="n">
        <v>685.45</v>
      </c>
      <c r="H444" s="43" t="inlineStr">
        <is>
          <t>Potansiyel müşteriler (form)</t>
        </is>
      </c>
      <c r="I444" s="46" t="n">
        <v>7</v>
      </c>
      <c r="J444" s="46" t="n">
        <v>5417</v>
      </c>
      <c r="K444" s="46" t="n">
        <v>7031</v>
      </c>
    </row>
    <row r="445">
      <c r="A445" s="47" t="inlineStr">
        <is>
          <t>Doruk Hastaneleri</t>
        </is>
      </c>
      <c r="B445" s="47" t="inlineStr">
        <is>
          <t>Checkup - genel - lead</t>
        </is>
      </c>
      <c r="C445" s="50" t="inlineStr">
        <is>
          <t>2026-06-29</t>
        </is>
      </c>
      <c r="D445" s="47" t="inlineStr">
        <is>
          <t>Hastane (Kurumsal)</t>
        </is>
      </c>
      <c r="E445" s="47" t="inlineStr">
        <is>
          <t>Lead Toplama (Form)</t>
        </is>
      </c>
      <c r="F445" s="47" t="inlineStr">
        <is>
          <t>Lead - Check-up/Tarama</t>
        </is>
      </c>
      <c r="G445" s="84" t="n">
        <v>682.26</v>
      </c>
      <c r="H445" s="47" t="inlineStr">
        <is>
          <t>Potansiyel müşteriler (form)</t>
        </is>
      </c>
      <c r="I445" s="50" t="n">
        <v>2</v>
      </c>
      <c r="J445" s="50" t="n">
        <v>5316</v>
      </c>
      <c r="K445" s="50" t="n">
        <v>6786</v>
      </c>
    </row>
    <row r="446">
      <c r="A446" s="43" t="inlineStr">
        <is>
          <t>Doruk Hastaneleri</t>
        </is>
      </c>
      <c r="B446" s="43" t="inlineStr">
        <is>
          <t>Hemşire İş Başvuru - lead</t>
        </is>
      </c>
      <c r="C446" s="46" t="inlineStr">
        <is>
          <t>2026-07-22</t>
        </is>
      </c>
      <c r="D446" s="43" t="inlineStr">
        <is>
          <t>Hastane (Kurumsal)</t>
        </is>
      </c>
      <c r="E446" s="43" t="inlineStr">
        <is>
          <t>Lead Toplama (Form)</t>
        </is>
      </c>
      <c r="F446" s="43" t="inlineStr">
        <is>
          <t>Lead - İK/İş Başvurusu</t>
        </is>
      </c>
      <c r="G446" s="83" t="n">
        <v>674.05</v>
      </c>
      <c r="H446" s="43" t="inlineStr"/>
      <c r="I446" s="46" t="n">
        <v>0</v>
      </c>
      <c r="J446" s="46" t="n">
        <v>10123</v>
      </c>
      <c r="K446" s="46" t="n">
        <v>13557</v>
      </c>
    </row>
    <row r="447">
      <c r="A447" s="47" t="inlineStr">
        <is>
          <t>Doruk Hastaneleri</t>
        </is>
      </c>
      <c r="B447" s="47" t="inlineStr">
        <is>
          <t>ABO / Meme Estetiği / plastik cerrahi / lead</t>
        </is>
      </c>
      <c r="C447" s="50" t="inlineStr">
        <is>
          <t>2026-06-24</t>
        </is>
      </c>
      <c r="D447" s="47" t="inlineStr">
        <is>
          <t>Hastane (Kurumsal)</t>
        </is>
      </c>
      <c r="E447" s="47" t="inlineStr">
        <is>
          <t>Lead Toplama (Form)</t>
        </is>
      </c>
      <c r="F447" s="47" t="inlineStr">
        <is>
          <t>Lead - Estetik/Plastik/Saç</t>
        </is>
      </c>
      <c r="G447" s="84" t="n">
        <v>672.74</v>
      </c>
      <c r="H447" s="47" t="inlineStr">
        <is>
          <t>Potansiyel müşteriler (form)</t>
        </is>
      </c>
      <c r="I447" s="50" t="n">
        <v>2</v>
      </c>
      <c r="J447" s="50" t="n">
        <v>4806</v>
      </c>
      <c r="K447" s="50" t="n">
        <v>6299</v>
      </c>
    </row>
    <row r="448">
      <c r="A448" s="43" t="inlineStr">
        <is>
          <t>Doruk Hastaneleri</t>
        </is>
      </c>
      <c r="B448" s="43" t="inlineStr">
        <is>
          <t>ABO / Rinoplasti / plastik cerrahi / lead</t>
        </is>
      </c>
      <c r="C448" s="46" t="inlineStr">
        <is>
          <t>2026-06-29</t>
        </is>
      </c>
      <c r="D448" s="43" t="inlineStr">
        <is>
          <t>Hastane (Kurumsal)</t>
        </is>
      </c>
      <c r="E448" s="43" t="inlineStr">
        <is>
          <t>Lead Toplama (Form)</t>
        </is>
      </c>
      <c r="F448" s="43" t="inlineStr">
        <is>
          <t>Lead - Estetik/Plastik/Saç</t>
        </is>
      </c>
      <c r="G448" s="83" t="n">
        <v>649.54</v>
      </c>
      <c r="H448" s="43" t="inlineStr"/>
      <c r="I448" s="46" t="n">
        <v>0</v>
      </c>
      <c r="J448" s="46" t="n">
        <v>3402</v>
      </c>
      <c r="K448" s="46" t="n">
        <v>4762</v>
      </c>
    </row>
    <row r="449">
      <c r="A449" s="47" t="inlineStr">
        <is>
          <t>Doruk Hastaneleri</t>
        </is>
      </c>
      <c r="B449" s="47" t="inlineStr">
        <is>
          <t>Uzman Hekim Başvuru</t>
        </is>
      </c>
      <c r="C449" s="50" t="inlineStr">
        <is>
          <t>2026-07-22</t>
        </is>
      </c>
      <c r="D449" s="47" t="inlineStr">
        <is>
          <t>Hastane (Kurumsal)</t>
        </is>
      </c>
      <c r="E449" s="47" t="inlineStr">
        <is>
          <t>Lead Toplama (Form)</t>
        </is>
      </c>
      <c r="F449" s="47" t="inlineStr">
        <is>
          <t>Lead - İK/İş Başvurusu</t>
        </is>
      </c>
      <c r="G449" s="84" t="n">
        <v>626.7</v>
      </c>
      <c r="H449" s="47" t="inlineStr">
        <is>
          <t>Potansiyel müşteriler (form)</t>
        </is>
      </c>
      <c r="I449" s="50" t="n">
        <v>4</v>
      </c>
      <c r="J449" s="50" t="n">
        <v>4097</v>
      </c>
      <c r="K449" s="50" t="n">
        <v>5228</v>
      </c>
    </row>
    <row r="450">
      <c r="A450" s="43" t="inlineStr">
        <is>
          <t>Doruk Hastaneleri</t>
        </is>
      </c>
      <c r="B450" s="43" t="inlineStr">
        <is>
          <t>Baş Dönmesi ve Denge Ünitesi / lead</t>
        </is>
      </c>
      <c r="C450" s="46" t="inlineStr">
        <is>
          <t>2026-06-27</t>
        </is>
      </c>
      <c r="D450" s="43" t="inlineStr">
        <is>
          <t>Hastane (Kurumsal)</t>
        </is>
      </c>
      <c r="E450" s="43" t="inlineStr">
        <is>
          <t>Lead Toplama (Form)</t>
        </is>
      </c>
      <c r="F450" s="43" t="inlineStr">
        <is>
          <t>Lead - Check-up/Tarama</t>
        </is>
      </c>
      <c r="G450" s="83" t="n">
        <v>607.53</v>
      </c>
      <c r="H450" s="43" t="inlineStr">
        <is>
          <t>Potansiyel müşteriler (form)</t>
        </is>
      </c>
      <c r="I450" s="46" t="n">
        <v>4</v>
      </c>
      <c r="J450" s="46" t="n">
        <v>8209</v>
      </c>
      <c r="K450" s="46" t="n">
        <v>10113</v>
      </c>
    </row>
    <row r="451">
      <c r="A451" s="47" t="inlineStr">
        <is>
          <t>Doruk Hastaneleri</t>
        </is>
      </c>
      <c r="B451" s="47" t="inlineStr">
        <is>
          <t>Checkup - genel - lead</t>
        </is>
      </c>
      <c r="C451" s="50" t="inlineStr">
        <is>
          <t>2026-06-24</t>
        </is>
      </c>
      <c r="D451" s="47" t="inlineStr">
        <is>
          <t>Hastane (Kurumsal)</t>
        </is>
      </c>
      <c r="E451" s="47" t="inlineStr">
        <is>
          <t>Lead Toplama (Form)</t>
        </is>
      </c>
      <c r="F451" s="47" t="inlineStr">
        <is>
          <t>Lead - Check-up/Tarama</t>
        </is>
      </c>
      <c r="G451" s="84" t="n">
        <v>605.22</v>
      </c>
      <c r="H451" s="47" t="inlineStr">
        <is>
          <t>Potansiyel müşteriler (form)</t>
        </is>
      </c>
      <c r="I451" s="50" t="n">
        <v>3</v>
      </c>
      <c r="J451" s="50" t="n">
        <v>5526</v>
      </c>
      <c r="K451" s="50" t="n">
        <v>6546</v>
      </c>
    </row>
    <row r="452">
      <c r="A452" s="43" t="inlineStr">
        <is>
          <t>Doruk Hastaneleri</t>
        </is>
      </c>
      <c r="B452" s="43" t="inlineStr">
        <is>
          <t>Prostat Checkup - lead</t>
        </is>
      </c>
      <c r="C452" s="46" t="inlineStr">
        <is>
          <t>2026-06-28</t>
        </is>
      </c>
      <c r="D452" s="43" t="inlineStr">
        <is>
          <t>Hastane (Kurumsal)</t>
        </is>
      </c>
      <c r="E452" s="43" t="inlineStr">
        <is>
          <t>Lead Toplama (Form)</t>
        </is>
      </c>
      <c r="F452" s="43" t="inlineStr">
        <is>
          <t>Lead - Check-up/Tarama</t>
        </is>
      </c>
      <c r="G452" s="83" t="n">
        <v>601.6799999999999</v>
      </c>
      <c r="H452" s="43" t="inlineStr">
        <is>
          <t>Potansiyel müşteriler (form)</t>
        </is>
      </c>
      <c r="I452" s="46" t="n">
        <v>6</v>
      </c>
      <c r="J452" s="46" t="n">
        <v>5521</v>
      </c>
      <c r="K452" s="46" t="n">
        <v>7533</v>
      </c>
    </row>
    <row r="453">
      <c r="A453" s="47" t="inlineStr">
        <is>
          <t>Doruk Hastaneleri</t>
        </is>
      </c>
      <c r="B453" s="47" t="inlineStr">
        <is>
          <t>Prostat Checkup - lead</t>
        </is>
      </c>
      <c r="C453" s="50" t="inlineStr">
        <is>
          <t>2026-07-15</t>
        </is>
      </c>
      <c r="D453" s="47" t="inlineStr">
        <is>
          <t>Hastane (Kurumsal)</t>
        </is>
      </c>
      <c r="E453" s="47" t="inlineStr">
        <is>
          <t>Lead Toplama (Form)</t>
        </is>
      </c>
      <c r="F453" s="47" t="inlineStr">
        <is>
          <t>Lead - Check-up/Tarama</t>
        </is>
      </c>
      <c r="G453" s="84" t="n">
        <v>601.35</v>
      </c>
      <c r="H453" s="47" t="inlineStr">
        <is>
          <t>Potansiyel müşteriler (form)</t>
        </is>
      </c>
      <c r="I453" s="50" t="n">
        <v>2</v>
      </c>
      <c r="J453" s="50" t="n">
        <v>6932</v>
      </c>
      <c r="K453" s="50" t="n">
        <v>8840</v>
      </c>
    </row>
    <row r="454">
      <c r="A454" s="43" t="inlineStr">
        <is>
          <t>Doruk Hastaneleri</t>
        </is>
      </c>
      <c r="B454" s="43" t="inlineStr">
        <is>
          <t>CBO / Saç Ekimi - lead / soğuk</t>
        </is>
      </c>
      <c r="C454" s="46" t="inlineStr">
        <is>
          <t>2026-07-05</t>
        </is>
      </c>
      <c r="D454" s="43" t="inlineStr">
        <is>
          <t>Hastane (Kurumsal)</t>
        </is>
      </c>
      <c r="E454" s="43" t="inlineStr">
        <is>
          <t>Lead Toplama (Form)</t>
        </is>
      </c>
      <c r="F454" s="43" t="inlineStr">
        <is>
          <t>Lead - Estetik/Plastik/Saç</t>
        </is>
      </c>
      <c r="G454" s="83" t="n">
        <v>600.92</v>
      </c>
      <c r="H454" s="43" t="inlineStr"/>
      <c r="I454" s="46" t="n">
        <v>0</v>
      </c>
      <c r="J454" s="46" t="n">
        <v>1862</v>
      </c>
      <c r="K454" s="46" t="n">
        <v>2959</v>
      </c>
    </row>
    <row r="455">
      <c r="A455" s="47" t="inlineStr">
        <is>
          <t>Doruk Hastaneleri</t>
        </is>
      </c>
      <c r="B455" s="47" t="inlineStr">
        <is>
          <t>CBO / Saç Ekimi - lead / soğuk</t>
        </is>
      </c>
      <c r="C455" s="50" t="inlineStr">
        <is>
          <t>2026-07-22</t>
        </is>
      </c>
      <c r="D455" s="47" t="inlineStr">
        <is>
          <t>Hastane (Kurumsal)</t>
        </is>
      </c>
      <c r="E455" s="47" t="inlineStr">
        <is>
          <t>Lead Toplama (Form)</t>
        </is>
      </c>
      <c r="F455" s="47" t="inlineStr">
        <is>
          <t>Lead - Estetik/Plastik/Saç</t>
        </is>
      </c>
      <c r="G455" s="84" t="n">
        <v>595.79</v>
      </c>
      <c r="H455" s="47" t="inlineStr">
        <is>
          <t>Potansiyel müşteriler (form)</t>
        </is>
      </c>
      <c r="I455" s="50" t="n">
        <v>1</v>
      </c>
      <c r="J455" s="50" t="n">
        <v>3216</v>
      </c>
      <c r="K455" s="50" t="n">
        <v>4549</v>
      </c>
    </row>
    <row r="456">
      <c r="A456" s="43" t="inlineStr">
        <is>
          <t>Doruk Hastaneleri</t>
        </is>
      </c>
      <c r="B456" s="43" t="inlineStr">
        <is>
          <t>Baş Dönmesi ve Denge Ünitesi / lead</t>
        </is>
      </c>
      <c r="C456" s="46" t="inlineStr">
        <is>
          <t>2026-07-18</t>
        </is>
      </c>
      <c r="D456" s="43" t="inlineStr">
        <is>
          <t>Hastane (Kurumsal)</t>
        </is>
      </c>
      <c r="E456" s="43" t="inlineStr">
        <is>
          <t>Lead Toplama (Form)</t>
        </is>
      </c>
      <c r="F456" s="43" t="inlineStr">
        <is>
          <t>Lead - Check-up/Tarama</t>
        </is>
      </c>
      <c r="G456" s="83" t="n">
        <v>585.6900000000001</v>
      </c>
      <c r="H456" s="43" t="inlineStr">
        <is>
          <t>Potansiyel müşteriler (form)</t>
        </is>
      </c>
      <c r="I456" s="46" t="n">
        <v>6</v>
      </c>
      <c r="J456" s="46" t="n">
        <v>8433</v>
      </c>
      <c r="K456" s="46" t="n">
        <v>10853</v>
      </c>
    </row>
    <row r="457">
      <c r="A457" s="47" t="inlineStr">
        <is>
          <t>Doruk Hastaneleri</t>
        </is>
      </c>
      <c r="B457" s="47" t="inlineStr">
        <is>
          <t>ABO / Meme Estetiği / plastik cerrahi / lead</t>
        </is>
      </c>
      <c r="C457" s="50" t="inlineStr">
        <is>
          <t>2026-07-22</t>
        </is>
      </c>
      <c r="D457" s="47" t="inlineStr">
        <is>
          <t>Hastane (Kurumsal)</t>
        </is>
      </c>
      <c r="E457" s="47" t="inlineStr">
        <is>
          <t>Lead Toplama (Form)</t>
        </is>
      </c>
      <c r="F457" s="47" t="inlineStr">
        <is>
          <t>Lead - Estetik/Plastik/Saç</t>
        </is>
      </c>
      <c r="G457" s="84" t="n">
        <v>578.8200000000001</v>
      </c>
      <c r="H457" s="47" t="inlineStr">
        <is>
          <t>Potansiyel müşteriler (form)</t>
        </is>
      </c>
      <c r="I457" s="50" t="n">
        <v>2</v>
      </c>
      <c r="J457" s="50" t="n">
        <v>3783</v>
      </c>
      <c r="K457" s="50" t="n">
        <v>4617</v>
      </c>
    </row>
    <row r="458">
      <c r="A458" s="43" t="inlineStr">
        <is>
          <t>Doruk Hastaneleri</t>
        </is>
      </c>
      <c r="B458" s="43" t="inlineStr">
        <is>
          <t>Prostat Checkup - lead</t>
        </is>
      </c>
      <c r="C458" s="46" t="inlineStr">
        <is>
          <t>2026-06-23</t>
        </is>
      </c>
      <c r="D458" s="43" t="inlineStr">
        <is>
          <t>Hastane (Kurumsal)</t>
        </is>
      </c>
      <c r="E458" s="43" t="inlineStr">
        <is>
          <t>Lead Toplama (Form)</t>
        </is>
      </c>
      <c r="F458" s="43" t="inlineStr">
        <is>
          <t>Lead - Check-up/Tarama</t>
        </is>
      </c>
      <c r="G458" s="83" t="n">
        <v>573.85</v>
      </c>
      <c r="H458" s="43" t="inlineStr">
        <is>
          <t>Potansiyel müşteriler (form)</t>
        </is>
      </c>
      <c r="I458" s="46" t="n">
        <v>3</v>
      </c>
      <c r="J458" s="46" t="n">
        <v>5147</v>
      </c>
      <c r="K458" s="46" t="n">
        <v>6456</v>
      </c>
    </row>
    <row r="459">
      <c r="A459" s="47" t="inlineStr">
        <is>
          <t>Doruk Hastaneleri</t>
        </is>
      </c>
      <c r="B459" s="47" t="inlineStr">
        <is>
          <t>CBO / Saç Ekimi - lead / soğuk</t>
        </is>
      </c>
      <c r="C459" s="50" t="inlineStr">
        <is>
          <t>2026-07-09</t>
        </is>
      </c>
      <c r="D459" s="47" t="inlineStr">
        <is>
          <t>Hastane (Kurumsal)</t>
        </is>
      </c>
      <c r="E459" s="47" t="inlineStr">
        <is>
          <t>Lead Toplama (Form)</t>
        </is>
      </c>
      <c r="F459" s="47" t="inlineStr">
        <is>
          <t>Lead - Estetik/Plastik/Saç</t>
        </is>
      </c>
      <c r="G459" s="84" t="n">
        <v>569.76</v>
      </c>
      <c r="H459" s="47" t="inlineStr">
        <is>
          <t>Potansiyel müşteriler (form)</t>
        </is>
      </c>
      <c r="I459" s="50" t="n">
        <v>1</v>
      </c>
      <c r="J459" s="50" t="n">
        <v>2313</v>
      </c>
      <c r="K459" s="50" t="n">
        <v>3519</v>
      </c>
    </row>
    <row r="460">
      <c r="A460" s="43" t="inlineStr">
        <is>
          <t>Doruk Hastaneleri</t>
        </is>
      </c>
      <c r="B460" s="43" t="inlineStr">
        <is>
          <t>ABO / Meme Estetiği / plastik cerrahi / lead</t>
        </is>
      </c>
      <c r="C460" s="46" t="inlineStr">
        <is>
          <t>2026-07-05</t>
        </is>
      </c>
      <c r="D460" s="43" t="inlineStr">
        <is>
          <t>Hastane (Kurumsal)</t>
        </is>
      </c>
      <c r="E460" s="43" t="inlineStr">
        <is>
          <t>Lead Toplama (Form)</t>
        </is>
      </c>
      <c r="F460" s="43" t="inlineStr">
        <is>
          <t>Lead - Estetik/Plastik/Saç</t>
        </is>
      </c>
      <c r="G460" s="83" t="n">
        <v>566.17</v>
      </c>
      <c r="H460" s="43" t="inlineStr">
        <is>
          <t>Potansiyel müşteriler (form)</t>
        </is>
      </c>
      <c r="I460" s="46" t="n">
        <v>2</v>
      </c>
      <c r="J460" s="46" t="n">
        <v>3444</v>
      </c>
      <c r="K460" s="46" t="n">
        <v>4492</v>
      </c>
    </row>
    <row r="461">
      <c r="A461" s="47" t="inlineStr">
        <is>
          <t>Doruk Hastaneleri</t>
        </is>
      </c>
      <c r="B461" s="47" t="inlineStr">
        <is>
          <t>FTR Yatılı - lead</t>
        </is>
      </c>
      <c r="C461" s="50" t="inlineStr">
        <is>
          <t>2026-07-06</t>
        </is>
      </c>
      <c r="D461" s="47" t="inlineStr">
        <is>
          <t>Hastane (Kurumsal)</t>
        </is>
      </c>
      <c r="E461" s="47" t="inlineStr">
        <is>
          <t>Lead Toplama (Form)</t>
        </is>
      </c>
      <c r="F461" s="47" t="inlineStr">
        <is>
          <t>Lead - Kadın Doğum/Gebe/FTR</t>
        </is>
      </c>
      <c r="G461" s="84" t="n">
        <v>556.6900000000001</v>
      </c>
      <c r="H461" s="47" t="inlineStr">
        <is>
          <t>Potansiyel müşteriler (form)</t>
        </is>
      </c>
      <c r="I461" s="50" t="n">
        <v>1</v>
      </c>
      <c r="J461" s="50" t="n">
        <v>5520</v>
      </c>
      <c r="K461" s="50" t="n">
        <v>5984</v>
      </c>
    </row>
    <row r="462">
      <c r="A462" s="43" t="inlineStr">
        <is>
          <t>Doruk Hastaneleri</t>
        </is>
      </c>
      <c r="B462" s="43" t="inlineStr">
        <is>
          <t>ABO / Rinoplasti / plastik cerrahi / lead</t>
        </is>
      </c>
      <c r="C462" s="46" t="inlineStr">
        <is>
          <t>2026-07-17</t>
        </is>
      </c>
      <c r="D462" s="43" t="inlineStr">
        <is>
          <t>Hastane (Kurumsal)</t>
        </is>
      </c>
      <c r="E462" s="43" t="inlineStr">
        <is>
          <t>Lead Toplama (Form)</t>
        </is>
      </c>
      <c r="F462" s="43" t="inlineStr">
        <is>
          <t>Lead - Estetik/Plastik/Saç</t>
        </is>
      </c>
      <c r="G462" s="83" t="n">
        <v>547.72</v>
      </c>
      <c r="H462" s="43" t="inlineStr"/>
      <c r="I462" s="46" t="n">
        <v>0</v>
      </c>
      <c r="J462" s="46" t="n">
        <v>2033</v>
      </c>
      <c r="K462" s="46" t="n">
        <v>3001</v>
      </c>
    </row>
    <row r="463">
      <c r="A463" s="47" t="inlineStr">
        <is>
          <t>Doruk Hastaneleri</t>
        </is>
      </c>
      <c r="B463" s="47" t="inlineStr">
        <is>
          <t>ABO / Rinoplasti / plastik cerrahi / lead</t>
        </is>
      </c>
      <c r="C463" s="50" t="inlineStr">
        <is>
          <t>2026-06-24</t>
        </is>
      </c>
      <c r="D463" s="47" t="inlineStr">
        <is>
          <t>Hastane (Kurumsal)</t>
        </is>
      </c>
      <c r="E463" s="47" t="inlineStr">
        <is>
          <t>Lead Toplama (Form)</t>
        </is>
      </c>
      <c r="F463" s="47" t="inlineStr">
        <is>
          <t>Lead - Estetik/Plastik/Saç</t>
        </is>
      </c>
      <c r="G463" s="84" t="n">
        <v>547.52</v>
      </c>
      <c r="H463" s="47" t="inlineStr"/>
      <c r="I463" s="50" t="n">
        <v>0</v>
      </c>
      <c r="J463" s="50" t="n">
        <v>2531</v>
      </c>
      <c r="K463" s="50" t="n">
        <v>3220</v>
      </c>
    </row>
    <row r="464">
      <c r="A464" s="43" t="inlineStr">
        <is>
          <t>Doruk Hastaneleri</t>
        </is>
      </c>
      <c r="B464" s="43" t="inlineStr">
        <is>
          <t>Checkup - genel - lead</t>
        </is>
      </c>
      <c r="C464" s="46" t="inlineStr">
        <is>
          <t>2026-07-22</t>
        </is>
      </c>
      <c r="D464" s="43" t="inlineStr">
        <is>
          <t>Hastane (Kurumsal)</t>
        </is>
      </c>
      <c r="E464" s="43" t="inlineStr">
        <is>
          <t>Lead Toplama (Form)</t>
        </is>
      </c>
      <c r="F464" s="43" t="inlineStr">
        <is>
          <t>Lead - Check-up/Tarama</t>
        </is>
      </c>
      <c r="G464" s="83" t="n">
        <v>544.96</v>
      </c>
      <c r="H464" s="43" t="inlineStr"/>
      <c r="I464" s="46" t="n">
        <v>0</v>
      </c>
      <c r="J464" s="46" t="n">
        <v>3216</v>
      </c>
      <c r="K464" s="46" t="n">
        <v>4207</v>
      </c>
    </row>
    <row r="465">
      <c r="A465" s="47" t="inlineStr">
        <is>
          <t>Doruk Hastaneleri</t>
        </is>
      </c>
      <c r="B465" s="47" t="inlineStr">
        <is>
          <t>Checkup - genel - lead</t>
        </is>
      </c>
      <c r="C465" s="50" t="inlineStr">
        <is>
          <t>2026-07-05</t>
        </is>
      </c>
      <c r="D465" s="47" t="inlineStr">
        <is>
          <t>Hastane (Kurumsal)</t>
        </is>
      </c>
      <c r="E465" s="47" t="inlineStr">
        <is>
          <t>Lead Toplama (Form)</t>
        </is>
      </c>
      <c r="F465" s="47" t="inlineStr">
        <is>
          <t>Lead - Check-up/Tarama</t>
        </is>
      </c>
      <c r="G465" s="84" t="n">
        <v>543.47</v>
      </c>
      <c r="H465" s="47" t="inlineStr"/>
      <c r="I465" s="50" t="n">
        <v>0</v>
      </c>
      <c r="J465" s="50" t="n">
        <v>3240</v>
      </c>
      <c r="K465" s="50" t="n">
        <v>4118</v>
      </c>
    </row>
    <row r="466">
      <c r="A466" s="43" t="inlineStr">
        <is>
          <t>Doruk Hastaneleri</t>
        </is>
      </c>
      <c r="B466" s="43" t="inlineStr">
        <is>
          <t>Prostat Checkup - lead</t>
        </is>
      </c>
      <c r="C466" s="46" t="inlineStr">
        <is>
          <t>2026-07-04</t>
        </is>
      </c>
      <c r="D466" s="43" t="inlineStr">
        <is>
          <t>Hastane (Kurumsal)</t>
        </is>
      </c>
      <c r="E466" s="43" t="inlineStr">
        <is>
          <t>Lead Toplama (Form)</t>
        </is>
      </c>
      <c r="F466" s="43" t="inlineStr">
        <is>
          <t>Lead - Check-up/Tarama</t>
        </is>
      </c>
      <c r="G466" s="83" t="n">
        <v>534.36</v>
      </c>
      <c r="H466" s="43" t="inlineStr">
        <is>
          <t>Potansiyel müşteriler (form)</t>
        </is>
      </c>
      <c r="I466" s="46" t="n">
        <v>3</v>
      </c>
      <c r="J466" s="46" t="n">
        <v>6492</v>
      </c>
      <c r="K466" s="46" t="n">
        <v>7743</v>
      </c>
    </row>
    <row r="467">
      <c r="A467" s="47" t="inlineStr">
        <is>
          <t>Doruk Hastaneleri</t>
        </is>
      </c>
      <c r="B467" s="47" t="inlineStr">
        <is>
          <t>Prostat Checkup - lead</t>
        </is>
      </c>
      <c r="C467" s="50" t="inlineStr">
        <is>
          <t>2026-07-01</t>
        </is>
      </c>
      <c r="D467" s="47" t="inlineStr">
        <is>
          <t>Hastane (Kurumsal)</t>
        </is>
      </c>
      <c r="E467" s="47" t="inlineStr">
        <is>
          <t>Lead Toplama (Form)</t>
        </is>
      </c>
      <c r="F467" s="47" t="inlineStr">
        <is>
          <t>Lead - Check-up/Tarama</t>
        </is>
      </c>
      <c r="G467" s="84" t="n">
        <v>530.3200000000001</v>
      </c>
      <c r="H467" s="47" t="inlineStr">
        <is>
          <t>Potansiyel müşteriler (form)</t>
        </is>
      </c>
      <c r="I467" s="50" t="n">
        <v>1</v>
      </c>
      <c r="J467" s="50" t="n">
        <v>7212</v>
      </c>
      <c r="K467" s="50" t="n">
        <v>9891</v>
      </c>
    </row>
    <row r="468">
      <c r="A468" s="43" t="inlineStr">
        <is>
          <t>Doruk Hastaneleri</t>
        </is>
      </c>
      <c r="B468" s="43" t="inlineStr">
        <is>
          <t>Prostat Checkup - lead</t>
        </is>
      </c>
      <c r="C468" s="46" t="inlineStr">
        <is>
          <t>2026-07-17</t>
        </is>
      </c>
      <c r="D468" s="43" t="inlineStr">
        <is>
          <t>Hastane (Kurumsal)</t>
        </is>
      </c>
      <c r="E468" s="43" t="inlineStr">
        <is>
          <t>Lead Toplama (Form)</t>
        </is>
      </c>
      <c r="F468" s="43" t="inlineStr">
        <is>
          <t>Lead - Check-up/Tarama</t>
        </is>
      </c>
      <c r="G468" s="83" t="n">
        <v>524.6</v>
      </c>
      <c r="H468" s="43" t="inlineStr">
        <is>
          <t>Potansiyel müşteriler (form)</t>
        </is>
      </c>
      <c r="I468" s="46" t="n">
        <v>4</v>
      </c>
      <c r="J468" s="46" t="n">
        <v>6089</v>
      </c>
      <c r="K468" s="46" t="n">
        <v>7554</v>
      </c>
    </row>
    <row r="469">
      <c r="A469" s="47" t="inlineStr">
        <is>
          <t>Doruk Hastaneleri</t>
        </is>
      </c>
      <c r="B469" s="47" t="inlineStr">
        <is>
          <t>Hemşire İş Başvuru - lead</t>
        </is>
      </c>
      <c r="C469" s="50" t="inlineStr">
        <is>
          <t>2026-07-05</t>
        </is>
      </c>
      <c r="D469" s="47" t="inlineStr">
        <is>
          <t>Hastane (Kurumsal)</t>
        </is>
      </c>
      <c r="E469" s="47" t="inlineStr">
        <is>
          <t>Lead Toplama (Form)</t>
        </is>
      </c>
      <c r="F469" s="47" t="inlineStr">
        <is>
          <t>Lead - İK/İş Başvurusu</t>
        </is>
      </c>
      <c r="G469" s="84" t="n">
        <v>522.78</v>
      </c>
      <c r="H469" s="47" t="inlineStr"/>
      <c r="I469" s="50" t="n">
        <v>0</v>
      </c>
      <c r="J469" s="50" t="n">
        <v>5481</v>
      </c>
      <c r="K469" s="50" t="n">
        <v>8085</v>
      </c>
    </row>
    <row r="470">
      <c r="A470" s="43" t="inlineStr">
        <is>
          <t>Doruk Hastaneleri</t>
        </is>
      </c>
      <c r="B470" s="43" t="inlineStr">
        <is>
          <t>Prostat Checkup - lead</t>
        </is>
      </c>
      <c r="C470" s="46" t="inlineStr">
        <is>
          <t>2026-07-02</t>
        </is>
      </c>
      <c r="D470" s="43" t="inlineStr">
        <is>
          <t>Hastane (Kurumsal)</t>
        </is>
      </c>
      <c r="E470" s="43" t="inlineStr">
        <is>
          <t>Lead Toplama (Form)</t>
        </is>
      </c>
      <c r="F470" s="43" t="inlineStr">
        <is>
          <t>Lead - Check-up/Tarama</t>
        </is>
      </c>
      <c r="G470" s="83" t="n">
        <v>522.38</v>
      </c>
      <c r="H470" s="43" t="inlineStr">
        <is>
          <t>Potansiyel müşteriler (form)</t>
        </is>
      </c>
      <c r="I470" s="46" t="n">
        <v>2</v>
      </c>
      <c r="J470" s="46" t="n">
        <v>6748</v>
      </c>
      <c r="K470" s="46" t="n">
        <v>9019</v>
      </c>
    </row>
    <row r="471">
      <c r="A471" s="47" t="inlineStr">
        <is>
          <t>Doruk Hastaneleri</t>
        </is>
      </c>
      <c r="B471" s="47" t="inlineStr">
        <is>
          <t>ABO / Rinoplasti / plastik cerrahi / lead</t>
        </is>
      </c>
      <c r="C471" s="50" t="inlineStr">
        <is>
          <t>2026-07-22</t>
        </is>
      </c>
      <c r="D471" s="47" t="inlineStr">
        <is>
          <t>Hastane (Kurumsal)</t>
        </is>
      </c>
      <c r="E471" s="47" t="inlineStr">
        <is>
          <t>Lead Toplama (Form)</t>
        </is>
      </c>
      <c r="F471" s="47" t="inlineStr">
        <is>
          <t>Lead - Estetik/Plastik/Saç</t>
        </is>
      </c>
      <c r="G471" s="84" t="n">
        <v>519.86</v>
      </c>
      <c r="H471" s="47" t="inlineStr"/>
      <c r="I471" s="50" t="n">
        <v>0</v>
      </c>
      <c r="J471" s="50" t="n">
        <v>2363</v>
      </c>
      <c r="K471" s="50" t="n">
        <v>2972</v>
      </c>
    </row>
    <row r="472">
      <c r="A472" s="43" t="inlineStr">
        <is>
          <t>Doruk Hastaneleri</t>
        </is>
      </c>
      <c r="B472" s="43" t="inlineStr">
        <is>
          <t>Baş Dönmesi ve Denge Ünitesi / lead</t>
        </is>
      </c>
      <c r="C472" s="46" t="inlineStr">
        <is>
          <t>2026-07-16</t>
        </is>
      </c>
      <c r="D472" s="43" t="inlineStr">
        <is>
          <t>Hastane (Kurumsal)</t>
        </is>
      </c>
      <c r="E472" s="43" t="inlineStr">
        <is>
          <t>Lead Toplama (Form)</t>
        </is>
      </c>
      <c r="F472" s="43" t="inlineStr">
        <is>
          <t>Lead - Check-up/Tarama</t>
        </is>
      </c>
      <c r="G472" s="83" t="n">
        <v>517.17</v>
      </c>
      <c r="H472" s="43" t="inlineStr">
        <is>
          <t>Potansiyel müşteriler (form)</t>
        </is>
      </c>
      <c r="I472" s="46" t="n">
        <v>4</v>
      </c>
      <c r="J472" s="46" t="n">
        <v>8434</v>
      </c>
      <c r="K472" s="46" t="n">
        <v>10270</v>
      </c>
    </row>
    <row r="473">
      <c r="A473" s="47" t="inlineStr">
        <is>
          <t>Doruk Hastaneleri</t>
        </is>
      </c>
      <c r="B473" s="47" t="inlineStr">
        <is>
          <t>Uzman Hekim Başvuru</t>
        </is>
      </c>
      <c r="C473" s="50" t="inlineStr">
        <is>
          <t>2026-07-05</t>
        </is>
      </c>
      <c r="D473" s="47" t="inlineStr">
        <is>
          <t>Hastane (Kurumsal)</t>
        </is>
      </c>
      <c r="E473" s="47" t="inlineStr">
        <is>
          <t>Lead Toplama (Form)</t>
        </is>
      </c>
      <c r="F473" s="47" t="inlineStr">
        <is>
          <t>Lead - İK/İş Başvurusu</t>
        </is>
      </c>
      <c r="G473" s="84" t="n">
        <v>515.5</v>
      </c>
      <c r="H473" s="47" t="inlineStr">
        <is>
          <t>Potansiyel müşteriler (form)</t>
        </is>
      </c>
      <c r="I473" s="50" t="n">
        <v>1</v>
      </c>
      <c r="J473" s="50" t="n">
        <v>2003</v>
      </c>
      <c r="K473" s="50" t="n">
        <v>2361</v>
      </c>
    </row>
    <row r="474">
      <c r="A474" s="43" t="inlineStr">
        <is>
          <t>Doruk Hastaneleri</t>
        </is>
      </c>
      <c r="B474" s="43" t="inlineStr">
        <is>
          <t>ABO / Meme Estetiği / plastik cerrahi / lead</t>
        </is>
      </c>
      <c r="C474" s="46" t="inlineStr">
        <is>
          <t>2026-07-09</t>
        </is>
      </c>
      <c r="D474" s="43" t="inlineStr">
        <is>
          <t>Hastane (Kurumsal)</t>
        </is>
      </c>
      <c r="E474" s="43" t="inlineStr">
        <is>
          <t>Lead Toplama (Form)</t>
        </is>
      </c>
      <c r="F474" s="43" t="inlineStr">
        <is>
          <t>Lead - Estetik/Plastik/Saç</t>
        </is>
      </c>
      <c r="G474" s="83" t="n">
        <v>496.3</v>
      </c>
      <c r="H474" s="43" t="inlineStr"/>
      <c r="I474" s="46" t="n">
        <v>0</v>
      </c>
      <c r="J474" s="46" t="n">
        <v>2900</v>
      </c>
      <c r="K474" s="46" t="n">
        <v>3554</v>
      </c>
    </row>
    <row r="475">
      <c r="A475" s="47" t="inlineStr">
        <is>
          <t>Doruk Hastaneleri</t>
        </is>
      </c>
      <c r="B475" s="47" t="inlineStr">
        <is>
          <t>Baş Dönmesi ve Denge Ünitesi / lead</t>
        </is>
      </c>
      <c r="C475" s="50" t="inlineStr">
        <is>
          <t>2026-07-10</t>
        </is>
      </c>
      <c r="D475" s="47" t="inlineStr">
        <is>
          <t>Hastane (Kurumsal)</t>
        </is>
      </c>
      <c r="E475" s="47" t="inlineStr">
        <is>
          <t>Lead Toplama (Form)</t>
        </is>
      </c>
      <c r="F475" s="47" t="inlineStr">
        <is>
          <t>Lead - Check-up/Tarama</t>
        </is>
      </c>
      <c r="G475" s="84" t="n">
        <v>489.49</v>
      </c>
      <c r="H475" s="47" t="inlineStr">
        <is>
          <t>Potansiyel müşteriler (form)</t>
        </is>
      </c>
      <c r="I475" s="50" t="n">
        <v>3</v>
      </c>
      <c r="J475" s="50" t="n">
        <v>8706</v>
      </c>
      <c r="K475" s="50" t="n">
        <v>10797</v>
      </c>
    </row>
    <row r="476">
      <c r="A476" s="43" t="inlineStr">
        <is>
          <t>Doruk Hastaneleri</t>
        </is>
      </c>
      <c r="B476" s="43" t="inlineStr">
        <is>
          <t>ABO / Rinoplasti / plastik cerrahi / lead</t>
        </is>
      </c>
      <c r="C476" s="46" t="inlineStr">
        <is>
          <t>2026-07-05</t>
        </is>
      </c>
      <c r="D476" s="43" t="inlineStr">
        <is>
          <t>Hastane (Kurumsal)</t>
        </is>
      </c>
      <c r="E476" s="43" t="inlineStr">
        <is>
          <t>Lead Toplama (Form)</t>
        </is>
      </c>
      <c r="F476" s="43" t="inlineStr">
        <is>
          <t>Lead - Estetik/Plastik/Saç</t>
        </is>
      </c>
      <c r="G476" s="83" t="n">
        <v>484.5</v>
      </c>
      <c r="H476" s="43" t="inlineStr">
        <is>
          <t>Potansiyel müşteriler (form)</t>
        </is>
      </c>
      <c r="I476" s="46" t="n">
        <v>2</v>
      </c>
      <c r="J476" s="46" t="n">
        <v>2038</v>
      </c>
      <c r="K476" s="46" t="n">
        <v>2922</v>
      </c>
    </row>
    <row r="477">
      <c r="A477" s="47" t="inlineStr">
        <is>
          <t>Doruk Hastaneleri</t>
        </is>
      </c>
      <c r="B477" s="47" t="inlineStr">
        <is>
          <t>Prostat Checkup - lead</t>
        </is>
      </c>
      <c r="C477" s="50" t="inlineStr">
        <is>
          <t>2026-07-03</t>
        </is>
      </c>
      <c r="D477" s="47" t="inlineStr">
        <is>
          <t>Hastane (Kurumsal)</t>
        </is>
      </c>
      <c r="E477" s="47" t="inlineStr">
        <is>
          <t>Lead Toplama (Form)</t>
        </is>
      </c>
      <c r="F477" s="47" t="inlineStr">
        <is>
          <t>Lead - Check-up/Tarama</t>
        </is>
      </c>
      <c r="G477" s="84" t="n">
        <v>483.59</v>
      </c>
      <c r="H477" s="47" t="inlineStr">
        <is>
          <t>Potansiyel müşteriler (form)</t>
        </is>
      </c>
      <c r="I477" s="50" t="n">
        <v>1</v>
      </c>
      <c r="J477" s="50" t="n">
        <v>6155</v>
      </c>
      <c r="K477" s="50" t="n">
        <v>8553</v>
      </c>
    </row>
    <row r="478">
      <c r="A478" s="43" t="inlineStr">
        <is>
          <t>Doruk Hastaneleri</t>
        </is>
      </c>
      <c r="B478" s="43" t="inlineStr">
        <is>
          <t>Baş Dönmesi ve Denge Ünitesi / lead</t>
        </is>
      </c>
      <c r="C478" s="46" t="inlineStr">
        <is>
          <t>2026-06-26</t>
        </is>
      </c>
      <c r="D478" s="43" t="inlineStr">
        <is>
          <t>Hastane (Kurumsal)</t>
        </is>
      </c>
      <c r="E478" s="43" t="inlineStr">
        <is>
          <t>Lead Toplama (Form)</t>
        </is>
      </c>
      <c r="F478" s="43" t="inlineStr">
        <is>
          <t>Lead - Check-up/Tarama</t>
        </is>
      </c>
      <c r="G478" s="83" t="n">
        <v>481.26</v>
      </c>
      <c r="H478" s="43" t="inlineStr">
        <is>
          <t>Potansiyel müşteriler (form)</t>
        </is>
      </c>
      <c r="I478" s="46" t="n">
        <v>3</v>
      </c>
      <c r="J478" s="46" t="n">
        <v>7065</v>
      </c>
      <c r="K478" s="46" t="n">
        <v>8467</v>
      </c>
    </row>
    <row r="479">
      <c r="A479" s="47" t="inlineStr">
        <is>
          <t>Doruk Hastaneleri</t>
        </is>
      </c>
      <c r="B479" s="47" t="inlineStr">
        <is>
          <t>Prostat Checkup - lead</t>
        </is>
      </c>
      <c r="C479" s="50" t="inlineStr">
        <is>
          <t>2026-07-20</t>
        </is>
      </c>
      <c r="D479" s="47" t="inlineStr">
        <is>
          <t>Hastane (Kurumsal)</t>
        </is>
      </c>
      <c r="E479" s="47" t="inlineStr">
        <is>
          <t>Lead Toplama (Form)</t>
        </is>
      </c>
      <c r="F479" s="47" t="inlineStr">
        <is>
          <t>Lead - Check-up/Tarama</t>
        </is>
      </c>
      <c r="G479" s="84" t="n">
        <v>464.87</v>
      </c>
      <c r="H479" s="47" t="inlineStr">
        <is>
          <t>Potansiyel müşteriler (form)</t>
        </is>
      </c>
      <c r="I479" s="50" t="n">
        <v>3</v>
      </c>
      <c r="J479" s="50" t="n">
        <v>6303</v>
      </c>
      <c r="K479" s="50" t="n">
        <v>8479</v>
      </c>
    </row>
    <row r="480">
      <c r="A480" s="43" t="inlineStr">
        <is>
          <t>Doruk Hastaneleri</t>
        </is>
      </c>
      <c r="B480" s="43" t="inlineStr">
        <is>
          <t>Prostat Checkup - lead</t>
        </is>
      </c>
      <c r="C480" s="46" t="inlineStr">
        <is>
          <t>2026-07-13</t>
        </is>
      </c>
      <c r="D480" s="43" t="inlineStr">
        <is>
          <t>Hastane (Kurumsal)</t>
        </is>
      </c>
      <c r="E480" s="43" t="inlineStr">
        <is>
          <t>Lead Toplama (Form)</t>
        </is>
      </c>
      <c r="F480" s="43" t="inlineStr">
        <is>
          <t>Lead - Check-up/Tarama</t>
        </is>
      </c>
      <c r="G480" s="83" t="n">
        <v>452.09</v>
      </c>
      <c r="H480" s="43" t="inlineStr">
        <is>
          <t>Potansiyel müşteriler (form)</t>
        </is>
      </c>
      <c r="I480" s="46" t="n">
        <v>3</v>
      </c>
      <c r="J480" s="46" t="n">
        <v>4315</v>
      </c>
      <c r="K480" s="46" t="n">
        <v>5688</v>
      </c>
    </row>
    <row r="481">
      <c r="A481" s="47" t="inlineStr">
        <is>
          <t>Doruk Hastaneleri</t>
        </is>
      </c>
      <c r="B481" s="47" t="inlineStr">
        <is>
          <t>Prostat Checkup - lead</t>
        </is>
      </c>
      <c r="C481" s="50" t="inlineStr">
        <is>
          <t>2026-06-30</t>
        </is>
      </c>
      <c r="D481" s="47" t="inlineStr">
        <is>
          <t>Hastane (Kurumsal)</t>
        </is>
      </c>
      <c r="E481" s="47" t="inlineStr">
        <is>
          <t>Lead Toplama (Form)</t>
        </is>
      </c>
      <c r="F481" s="47" t="inlineStr">
        <is>
          <t>Lead - Check-up/Tarama</t>
        </is>
      </c>
      <c r="G481" s="84" t="n">
        <v>449.47</v>
      </c>
      <c r="H481" s="47" t="inlineStr">
        <is>
          <t>Potansiyel müşteriler (form)</t>
        </is>
      </c>
      <c r="I481" s="50" t="n">
        <v>3</v>
      </c>
      <c r="J481" s="50" t="n">
        <v>5927</v>
      </c>
      <c r="K481" s="50" t="n">
        <v>7726</v>
      </c>
    </row>
    <row r="482">
      <c r="A482" s="43" t="inlineStr">
        <is>
          <t>Doruk Hastaneleri</t>
        </is>
      </c>
      <c r="B482" s="43" t="inlineStr">
        <is>
          <t>Baş Dönmesi ve Denge Ünitesi / lead</t>
        </is>
      </c>
      <c r="C482" s="46" t="inlineStr">
        <is>
          <t>2026-07-08</t>
        </is>
      </c>
      <c r="D482" s="43" t="inlineStr">
        <is>
          <t>Hastane (Kurumsal)</t>
        </is>
      </c>
      <c r="E482" s="43" t="inlineStr">
        <is>
          <t>Lead Toplama (Form)</t>
        </is>
      </c>
      <c r="F482" s="43" t="inlineStr">
        <is>
          <t>Lead - Check-up/Tarama</t>
        </is>
      </c>
      <c r="G482" s="83" t="n">
        <v>445.64</v>
      </c>
      <c r="H482" s="43" t="inlineStr">
        <is>
          <t>Potansiyel müşteriler (form)</t>
        </is>
      </c>
      <c r="I482" s="46" t="n">
        <v>3</v>
      </c>
      <c r="J482" s="46" t="n">
        <v>6656</v>
      </c>
      <c r="K482" s="46" t="n">
        <v>8087</v>
      </c>
    </row>
    <row r="483">
      <c r="A483" s="47" t="inlineStr">
        <is>
          <t>Doruk Hastaneleri</t>
        </is>
      </c>
      <c r="B483" s="47" t="inlineStr">
        <is>
          <t>Prostat Checkup - lead</t>
        </is>
      </c>
      <c r="C483" s="50" t="inlineStr">
        <is>
          <t>2026-07-09</t>
        </is>
      </c>
      <c r="D483" s="47" t="inlineStr">
        <is>
          <t>Hastane (Kurumsal)</t>
        </is>
      </c>
      <c r="E483" s="47" t="inlineStr">
        <is>
          <t>Lead Toplama (Form)</t>
        </is>
      </c>
      <c r="F483" s="47" t="inlineStr">
        <is>
          <t>Lead - Check-up/Tarama</t>
        </is>
      </c>
      <c r="G483" s="84" t="n">
        <v>427.43</v>
      </c>
      <c r="H483" s="47" t="inlineStr">
        <is>
          <t>Potansiyel müşteriler (form)</t>
        </is>
      </c>
      <c r="I483" s="50" t="n">
        <v>3</v>
      </c>
      <c r="J483" s="50" t="n">
        <v>3934</v>
      </c>
      <c r="K483" s="50" t="n">
        <v>5051</v>
      </c>
    </row>
    <row r="484">
      <c r="A484" s="43" t="inlineStr">
        <is>
          <t>Doruk Hastaneleri</t>
        </is>
      </c>
      <c r="B484" s="43" t="inlineStr">
        <is>
          <t>Checkup - genel - lead</t>
        </is>
      </c>
      <c r="C484" s="46" t="inlineStr">
        <is>
          <t>2026-07-18</t>
        </is>
      </c>
      <c r="D484" s="43" t="inlineStr">
        <is>
          <t>Hastane (Kurumsal)</t>
        </is>
      </c>
      <c r="E484" s="43" t="inlineStr">
        <is>
          <t>Lead Toplama (Form)</t>
        </is>
      </c>
      <c r="F484" s="43" t="inlineStr">
        <is>
          <t>Lead - Check-up/Tarama</t>
        </is>
      </c>
      <c r="G484" s="83" t="n">
        <v>418.93</v>
      </c>
      <c r="H484" s="43" t="inlineStr">
        <is>
          <t>Potansiyel müşteriler (form)</t>
        </is>
      </c>
      <c r="I484" s="46" t="n">
        <v>1</v>
      </c>
      <c r="J484" s="46" t="n">
        <v>2470</v>
      </c>
      <c r="K484" s="46" t="n">
        <v>2966</v>
      </c>
    </row>
    <row r="485">
      <c r="A485" s="47" t="inlineStr">
        <is>
          <t>Doruk Hastaneleri</t>
        </is>
      </c>
      <c r="B485" s="47" t="inlineStr">
        <is>
          <t>Baş Dönmesi ve Denge Ünitesi / lead</t>
        </is>
      </c>
      <c r="C485" s="50" t="inlineStr">
        <is>
          <t>2026-06-28</t>
        </is>
      </c>
      <c r="D485" s="47" t="inlineStr">
        <is>
          <t>Hastane (Kurumsal)</t>
        </is>
      </c>
      <c r="E485" s="47" t="inlineStr">
        <is>
          <t>Lead Toplama (Form)</t>
        </is>
      </c>
      <c r="F485" s="47" t="inlineStr">
        <is>
          <t>Lead - Check-up/Tarama</t>
        </is>
      </c>
      <c r="G485" s="84" t="n">
        <v>414.93</v>
      </c>
      <c r="H485" s="47" t="inlineStr">
        <is>
          <t>Potansiyel müşteriler (form)</t>
        </is>
      </c>
      <c r="I485" s="50" t="n">
        <v>5</v>
      </c>
      <c r="J485" s="50" t="n">
        <v>6026</v>
      </c>
      <c r="K485" s="50" t="n">
        <v>7720</v>
      </c>
    </row>
    <row r="486">
      <c r="A486" s="43" t="inlineStr">
        <is>
          <t>Doruk Hastaneleri</t>
        </is>
      </c>
      <c r="B486" s="43" t="inlineStr">
        <is>
          <t>Baş Dönmesi ve Denge Ünitesi / lead</t>
        </is>
      </c>
      <c r="C486" s="46" t="inlineStr">
        <is>
          <t>2026-06-23</t>
        </is>
      </c>
      <c r="D486" s="43" t="inlineStr">
        <is>
          <t>Hastane (Kurumsal)</t>
        </is>
      </c>
      <c r="E486" s="43" t="inlineStr">
        <is>
          <t>Lead Toplama (Form)</t>
        </is>
      </c>
      <c r="F486" s="43" t="inlineStr">
        <is>
          <t>Lead - Check-up/Tarama</t>
        </is>
      </c>
      <c r="G486" s="83" t="n">
        <v>414.15</v>
      </c>
      <c r="H486" s="43" t="inlineStr">
        <is>
          <t>Potansiyel müşteriler (form)</t>
        </is>
      </c>
      <c r="I486" s="46" t="n">
        <v>2</v>
      </c>
      <c r="J486" s="46" t="n">
        <v>6921</v>
      </c>
      <c r="K486" s="46" t="n">
        <v>8167</v>
      </c>
    </row>
    <row r="487">
      <c r="A487" s="47" t="inlineStr">
        <is>
          <t>Doruk Hastaneleri</t>
        </is>
      </c>
      <c r="B487" s="47" t="inlineStr">
        <is>
          <t>Prostat Checkup - lead</t>
        </is>
      </c>
      <c r="C487" s="50" t="inlineStr">
        <is>
          <t>2026-06-29</t>
        </is>
      </c>
      <c r="D487" s="47" t="inlineStr">
        <is>
          <t>Hastane (Kurumsal)</t>
        </is>
      </c>
      <c r="E487" s="47" t="inlineStr">
        <is>
          <t>Lead Toplama (Form)</t>
        </is>
      </c>
      <c r="F487" s="47" t="inlineStr">
        <is>
          <t>Lead - Check-up/Tarama</t>
        </is>
      </c>
      <c r="G487" s="84" t="n">
        <v>378.2</v>
      </c>
      <c r="H487" s="47" t="inlineStr"/>
      <c r="I487" s="50" t="n">
        <v>0</v>
      </c>
      <c r="J487" s="50" t="n">
        <v>4251</v>
      </c>
      <c r="K487" s="50" t="n">
        <v>5403</v>
      </c>
    </row>
    <row r="488">
      <c r="A488" s="43" t="inlineStr">
        <is>
          <t>Doruk Hastaneleri</t>
        </is>
      </c>
      <c r="B488" s="43" t="inlineStr">
        <is>
          <t>Checkup - genel - lead</t>
        </is>
      </c>
      <c r="C488" s="46" t="inlineStr">
        <is>
          <t>2026-07-11</t>
        </is>
      </c>
      <c r="D488" s="43" t="inlineStr">
        <is>
          <t>Hastane (Kurumsal)</t>
        </is>
      </c>
      <c r="E488" s="43" t="inlineStr">
        <is>
          <t>Lead Toplama (Form)</t>
        </is>
      </c>
      <c r="F488" s="43" t="inlineStr">
        <is>
          <t>Lead - Check-up/Tarama</t>
        </is>
      </c>
      <c r="G488" s="83" t="n">
        <v>376.18</v>
      </c>
      <c r="H488" s="43" t="inlineStr">
        <is>
          <t>Potansiyel müşteriler (form)</t>
        </is>
      </c>
      <c r="I488" s="46" t="n">
        <v>1</v>
      </c>
      <c r="J488" s="46" t="n">
        <v>2580</v>
      </c>
      <c r="K488" s="46" t="n">
        <v>2889</v>
      </c>
    </row>
    <row r="489">
      <c r="A489" s="47" t="inlineStr">
        <is>
          <t>Doruk Hastaneleri</t>
        </is>
      </c>
      <c r="B489" s="47" t="inlineStr">
        <is>
          <t>ABO / Rinoplasti / plastik cerrahi / lead</t>
        </is>
      </c>
      <c r="C489" s="50" t="inlineStr">
        <is>
          <t>2026-07-09</t>
        </is>
      </c>
      <c r="D489" s="47" t="inlineStr">
        <is>
          <t>Hastane (Kurumsal)</t>
        </is>
      </c>
      <c r="E489" s="47" t="inlineStr">
        <is>
          <t>Lead Toplama (Form)</t>
        </is>
      </c>
      <c r="F489" s="47" t="inlineStr">
        <is>
          <t>Lead - Estetik/Plastik/Saç</t>
        </is>
      </c>
      <c r="G489" s="84" t="n">
        <v>374.86</v>
      </c>
      <c r="H489" s="47" t="inlineStr">
        <is>
          <t>Potansiyel müşteriler (form)</t>
        </is>
      </c>
      <c r="I489" s="50" t="n">
        <v>1</v>
      </c>
      <c r="J489" s="50" t="n">
        <v>1560</v>
      </c>
      <c r="K489" s="50" t="n">
        <v>1993</v>
      </c>
    </row>
    <row r="490">
      <c r="A490" s="43" t="inlineStr">
        <is>
          <t>Doruk Hastaneleri</t>
        </is>
      </c>
      <c r="B490" s="43" t="inlineStr">
        <is>
          <t>ABO /Kepçe Kulak / plastik cerrahi / lead</t>
        </is>
      </c>
      <c r="C490" s="46" t="inlineStr">
        <is>
          <t>2026-07-01</t>
        </is>
      </c>
      <c r="D490" s="43" t="inlineStr">
        <is>
          <t>Hastane (Kurumsal)</t>
        </is>
      </c>
      <c r="E490" s="43" t="inlineStr">
        <is>
          <t>Lead Toplama (Form)</t>
        </is>
      </c>
      <c r="F490" s="43" t="inlineStr">
        <is>
          <t>Lead - Estetik/Plastik/Saç</t>
        </is>
      </c>
      <c r="G490" s="83" t="n">
        <v>369.9</v>
      </c>
      <c r="H490" s="43" t="inlineStr">
        <is>
          <t>Potansiyel müşteriler (form)</t>
        </is>
      </c>
      <c r="I490" s="46" t="n">
        <v>2</v>
      </c>
      <c r="J490" s="46" t="n">
        <v>6588</v>
      </c>
      <c r="K490" s="46" t="n">
        <v>7294</v>
      </c>
    </row>
    <row r="491">
      <c r="A491" s="47" t="inlineStr">
        <is>
          <t>Doruk Hastaneleri</t>
        </is>
      </c>
      <c r="B491" s="47" t="inlineStr">
        <is>
          <t>ABO / Yüz Germe (Facelift) / plastik cerrahi / lead</t>
        </is>
      </c>
      <c r="C491" s="50" t="inlineStr">
        <is>
          <t>2026-06-27</t>
        </is>
      </c>
      <c r="D491" s="47" t="inlineStr">
        <is>
          <t>Hastane (Kurumsal)</t>
        </is>
      </c>
      <c r="E491" s="47" t="inlineStr">
        <is>
          <t>Lead Toplama (Form)</t>
        </is>
      </c>
      <c r="F491" s="47" t="inlineStr">
        <is>
          <t>Lead - Estetik/Plastik/Saç</t>
        </is>
      </c>
      <c r="G491" s="84" t="n">
        <v>369.89</v>
      </c>
      <c r="H491" s="47" t="inlineStr">
        <is>
          <t>Potansiyel müşteriler (form)</t>
        </is>
      </c>
      <c r="I491" s="50" t="n">
        <v>2</v>
      </c>
      <c r="J491" s="50" t="n">
        <v>971</v>
      </c>
      <c r="K491" s="50" t="n">
        <v>1318</v>
      </c>
    </row>
    <row r="492">
      <c r="A492" s="43" t="inlineStr">
        <is>
          <t>Doruk Hastaneleri</t>
        </is>
      </c>
      <c r="B492" s="43" t="inlineStr">
        <is>
          <t>ABO / Vücut Şekillendirme / plastik cerrahi / lead</t>
        </is>
      </c>
      <c r="C492" s="46" t="inlineStr">
        <is>
          <t>2026-06-27</t>
        </is>
      </c>
      <c r="D492" s="43" t="inlineStr">
        <is>
          <t>Hastane (Kurumsal)</t>
        </is>
      </c>
      <c r="E492" s="43" t="inlineStr">
        <is>
          <t>Lead Toplama (Form)</t>
        </is>
      </c>
      <c r="F492" s="43" t="inlineStr">
        <is>
          <t>Lead - Estetik/Plastik/Saç</t>
        </is>
      </c>
      <c r="G492" s="83" t="n">
        <v>368.95</v>
      </c>
      <c r="H492" s="43" t="inlineStr">
        <is>
          <t>Potansiyel müşteriler (form)</t>
        </is>
      </c>
      <c r="I492" s="46" t="n">
        <v>1</v>
      </c>
      <c r="J492" s="46" t="n">
        <v>819</v>
      </c>
      <c r="K492" s="46" t="n">
        <v>1259</v>
      </c>
    </row>
    <row r="493">
      <c r="A493" s="47" t="inlineStr">
        <is>
          <t>Doruk Hastaneleri</t>
        </is>
      </c>
      <c r="B493" s="47" t="inlineStr">
        <is>
          <t>ABO /Kepçe Kulak / plastik cerrahi / lead</t>
        </is>
      </c>
      <c r="C493" s="50" t="inlineStr">
        <is>
          <t>2026-06-27</t>
        </is>
      </c>
      <c r="D493" s="47" t="inlineStr">
        <is>
          <t>Hastane (Kurumsal)</t>
        </is>
      </c>
      <c r="E493" s="47" t="inlineStr">
        <is>
          <t>Lead Toplama (Form)</t>
        </is>
      </c>
      <c r="F493" s="47" t="inlineStr">
        <is>
          <t>Lead - Estetik/Plastik/Saç</t>
        </is>
      </c>
      <c r="G493" s="84" t="n">
        <v>368.39</v>
      </c>
      <c r="H493" s="47" t="inlineStr"/>
      <c r="I493" s="50" t="n">
        <v>0</v>
      </c>
      <c r="J493" s="50" t="n">
        <v>1925</v>
      </c>
      <c r="K493" s="50" t="n">
        <v>2596</v>
      </c>
    </row>
    <row r="494">
      <c r="A494" s="43" t="inlineStr">
        <is>
          <t>Doruk Hastaneleri</t>
        </is>
      </c>
      <c r="B494" s="43" t="inlineStr">
        <is>
          <t>ABO /Jinekomasti / plastik cerrahi / lead</t>
        </is>
      </c>
      <c r="C494" s="46" t="inlineStr">
        <is>
          <t>2026-06-27</t>
        </is>
      </c>
      <c r="D494" s="43" t="inlineStr">
        <is>
          <t>Hastane (Kurumsal)</t>
        </is>
      </c>
      <c r="E494" s="43" t="inlineStr">
        <is>
          <t>Lead Toplama (Form)</t>
        </is>
      </c>
      <c r="F494" s="43" t="inlineStr">
        <is>
          <t>Lead - Estetik/Plastik/Saç</t>
        </is>
      </c>
      <c r="G494" s="83" t="n">
        <v>366.36</v>
      </c>
      <c r="H494" s="43" t="inlineStr"/>
      <c r="I494" s="46" t="n">
        <v>0</v>
      </c>
      <c r="J494" s="46" t="n">
        <v>3708</v>
      </c>
      <c r="K494" s="46" t="n">
        <v>4688</v>
      </c>
    </row>
    <row r="495">
      <c r="A495" s="47" t="inlineStr">
        <is>
          <t>Doruk Hastaneleri</t>
        </is>
      </c>
      <c r="B495" s="47" t="inlineStr">
        <is>
          <t>Prostat Checkup - lead</t>
        </is>
      </c>
      <c r="C495" s="50" t="inlineStr">
        <is>
          <t>2026-06-24</t>
        </is>
      </c>
      <c r="D495" s="47" t="inlineStr">
        <is>
          <t>Hastane (Kurumsal)</t>
        </is>
      </c>
      <c r="E495" s="47" t="inlineStr">
        <is>
          <t>Lead Toplama (Form)</t>
        </is>
      </c>
      <c r="F495" s="47" t="inlineStr">
        <is>
          <t>Lead - Check-up/Tarama</t>
        </is>
      </c>
      <c r="G495" s="84" t="n">
        <v>366.12</v>
      </c>
      <c r="H495" s="47" t="inlineStr">
        <is>
          <t>Potansiyel müşteriler (form)</t>
        </is>
      </c>
      <c r="I495" s="50" t="n">
        <v>2</v>
      </c>
      <c r="J495" s="50" t="n">
        <v>3732</v>
      </c>
      <c r="K495" s="50" t="n">
        <v>4766</v>
      </c>
    </row>
    <row r="496">
      <c r="A496" s="43" t="inlineStr">
        <is>
          <t>Doruk Hastaneleri</t>
        </is>
      </c>
      <c r="B496" s="43" t="inlineStr">
        <is>
          <t>Baş Dönmesi ve Denge Ünitesi / lead</t>
        </is>
      </c>
      <c r="C496" s="46" t="inlineStr">
        <is>
          <t>2026-07-15</t>
        </is>
      </c>
      <c r="D496" s="43" t="inlineStr">
        <is>
          <t>Hastane (Kurumsal)</t>
        </is>
      </c>
      <c r="E496" s="43" t="inlineStr">
        <is>
          <t>Lead Toplama (Form)</t>
        </is>
      </c>
      <c r="F496" s="43" t="inlineStr">
        <is>
          <t>Lead - Check-up/Tarama</t>
        </is>
      </c>
      <c r="G496" s="83" t="n">
        <v>365.75</v>
      </c>
      <c r="H496" s="43" t="inlineStr">
        <is>
          <t>Potansiyel müşteriler (form)</t>
        </is>
      </c>
      <c r="I496" s="46" t="n">
        <v>3</v>
      </c>
      <c r="J496" s="46" t="n">
        <v>7883</v>
      </c>
      <c r="K496" s="46" t="n">
        <v>9432</v>
      </c>
    </row>
    <row r="497">
      <c r="A497" s="47" t="inlineStr">
        <is>
          <t>Doruk Hastaneleri</t>
        </is>
      </c>
      <c r="B497" s="47" t="inlineStr">
        <is>
          <t>ABO / Göz Kapağı Estetiği / plastik cerrahi / lead</t>
        </is>
      </c>
      <c r="C497" s="50" t="inlineStr">
        <is>
          <t>2026-06-27</t>
        </is>
      </c>
      <c r="D497" s="47" t="inlineStr">
        <is>
          <t>Hastane (Kurumsal)</t>
        </is>
      </c>
      <c r="E497" s="47" t="inlineStr">
        <is>
          <t>Lead Toplama (Form)</t>
        </is>
      </c>
      <c r="F497" s="47" t="inlineStr">
        <is>
          <t>Lead - Estetik/Plastik/Saç</t>
        </is>
      </c>
      <c r="G497" s="84" t="n">
        <v>364.8</v>
      </c>
      <c r="H497" s="47" t="inlineStr"/>
      <c r="I497" s="50" t="n">
        <v>0</v>
      </c>
      <c r="J497" s="50" t="n">
        <v>1823</v>
      </c>
      <c r="K497" s="50" t="n">
        <v>2571</v>
      </c>
    </row>
    <row r="498">
      <c r="A498" s="43" t="inlineStr">
        <is>
          <t>Doruk Hastaneleri</t>
        </is>
      </c>
      <c r="B498" s="43" t="inlineStr">
        <is>
          <t>ABO /Kepçe Kulak / plastik cerrahi / lead</t>
        </is>
      </c>
      <c r="C498" s="46" t="inlineStr">
        <is>
          <t>2026-07-13</t>
        </is>
      </c>
      <c r="D498" s="43" t="inlineStr">
        <is>
          <t>Hastane (Kurumsal)</t>
        </is>
      </c>
      <c r="E498" s="43" t="inlineStr">
        <is>
          <t>Lead Toplama (Form)</t>
        </is>
      </c>
      <c r="F498" s="43" t="inlineStr">
        <is>
          <t>Lead - Estetik/Plastik/Saç</t>
        </is>
      </c>
      <c r="G498" s="83" t="n">
        <v>364.09</v>
      </c>
      <c r="H498" s="43" t="inlineStr">
        <is>
          <t>Potansiyel müşteriler (form)</t>
        </is>
      </c>
      <c r="I498" s="46" t="n">
        <v>2</v>
      </c>
      <c r="J498" s="46" t="n">
        <v>9044</v>
      </c>
      <c r="K498" s="46" t="n">
        <v>9699</v>
      </c>
    </row>
    <row r="499">
      <c r="A499" s="47" t="inlineStr">
        <is>
          <t>Doruk Hastaneleri</t>
        </is>
      </c>
      <c r="B499" s="47" t="inlineStr">
        <is>
          <t>Baş Dönmesi ve Denge Ünitesi / lead</t>
        </is>
      </c>
      <c r="C499" s="50" t="inlineStr">
        <is>
          <t>2026-07-02</t>
        </is>
      </c>
      <c r="D499" s="47" t="inlineStr">
        <is>
          <t>Hastane (Kurumsal)</t>
        </is>
      </c>
      <c r="E499" s="47" t="inlineStr">
        <is>
          <t>Lead Toplama (Form)</t>
        </is>
      </c>
      <c r="F499" s="47" t="inlineStr">
        <is>
          <t>Lead - Check-up/Tarama</t>
        </is>
      </c>
      <c r="G499" s="84" t="n">
        <v>364.01</v>
      </c>
      <c r="H499" s="47" t="inlineStr">
        <is>
          <t>Potansiyel müşteriler (form)</t>
        </is>
      </c>
      <c r="I499" s="50" t="n">
        <v>1</v>
      </c>
      <c r="J499" s="50" t="n">
        <v>5940</v>
      </c>
      <c r="K499" s="50" t="n">
        <v>7559</v>
      </c>
    </row>
    <row r="500">
      <c r="A500" s="43" t="inlineStr">
        <is>
          <t>Doruk Hastaneleri</t>
        </is>
      </c>
      <c r="B500" s="43" t="inlineStr">
        <is>
          <t>ABO / Yüz Germe (Facelift) / plastik cerrahi / lead</t>
        </is>
      </c>
      <c r="C500" s="46" t="inlineStr">
        <is>
          <t>2026-06-28</t>
        </is>
      </c>
      <c r="D500" s="43" t="inlineStr">
        <is>
          <t>Hastane (Kurumsal)</t>
        </is>
      </c>
      <c r="E500" s="43" t="inlineStr">
        <is>
          <t>Lead Toplama (Form)</t>
        </is>
      </c>
      <c r="F500" s="43" t="inlineStr">
        <is>
          <t>Lead - Estetik/Plastik/Saç</t>
        </is>
      </c>
      <c r="G500" s="83" t="n">
        <v>363.47</v>
      </c>
      <c r="H500" s="43" t="inlineStr">
        <is>
          <t>Potansiyel müşteriler (form)</t>
        </is>
      </c>
      <c r="I500" s="46" t="n">
        <v>1</v>
      </c>
      <c r="J500" s="46" t="n">
        <v>744</v>
      </c>
      <c r="K500" s="46" t="n">
        <v>1017</v>
      </c>
    </row>
    <row r="501">
      <c r="A501" s="47" t="inlineStr">
        <is>
          <t>Doruk Hastaneleri</t>
        </is>
      </c>
      <c r="B501" s="47" t="inlineStr">
        <is>
          <t>Baş Dönmesi ve Denge Ünitesi / lead</t>
        </is>
      </c>
      <c r="C501" s="50" t="inlineStr">
        <is>
          <t>2026-07-01</t>
        </is>
      </c>
      <c r="D501" s="47" t="inlineStr">
        <is>
          <t>Hastane (Kurumsal)</t>
        </is>
      </c>
      <c r="E501" s="47" t="inlineStr">
        <is>
          <t>Lead Toplama (Form)</t>
        </is>
      </c>
      <c r="F501" s="47" t="inlineStr">
        <is>
          <t>Lead - Check-up/Tarama</t>
        </is>
      </c>
      <c r="G501" s="84" t="n">
        <v>361.24</v>
      </c>
      <c r="H501" s="47" t="inlineStr"/>
      <c r="I501" s="50" t="n">
        <v>0</v>
      </c>
      <c r="J501" s="50" t="n">
        <v>6766</v>
      </c>
      <c r="K501" s="50" t="n">
        <v>8754</v>
      </c>
    </row>
    <row r="502">
      <c r="A502" s="43" t="inlineStr">
        <is>
          <t>Doruk Hastaneleri</t>
        </is>
      </c>
      <c r="B502" s="43" t="inlineStr">
        <is>
          <t>Baş Dönmesi ve Denge Ünitesi / lead</t>
        </is>
      </c>
      <c r="C502" s="46" t="inlineStr">
        <is>
          <t>2026-07-03</t>
        </is>
      </c>
      <c r="D502" s="43" t="inlineStr">
        <is>
          <t>Hastane (Kurumsal)</t>
        </is>
      </c>
      <c r="E502" s="43" t="inlineStr">
        <is>
          <t>Lead Toplama (Form)</t>
        </is>
      </c>
      <c r="F502" s="43" t="inlineStr">
        <is>
          <t>Lead - Check-up/Tarama</t>
        </is>
      </c>
      <c r="G502" s="83" t="n">
        <v>357.8</v>
      </c>
      <c r="H502" s="43" t="inlineStr">
        <is>
          <t>Potansiyel müşteriler (form)</t>
        </is>
      </c>
      <c r="I502" s="46" t="n">
        <v>6</v>
      </c>
      <c r="J502" s="46" t="n">
        <v>6132</v>
      </c>
      <c r="K502" s="46" t="n">
        <v>7749</v>
      </c>
    </row>
    <row r="503">
      <c r="A503" s="47" t="inlineStr">
        <is>
          <t>Doruk Hastaneleri</t>
        </is>
      </c>
      <c r="B503" s="47" t="inlineStr">
        <is>
          <t>ABO / Vücut Şekillendirme / plastik cerrahi / lead</t>
        </is>
      </c>
      <c r="C503" s="50" t="inlineStr">
        <is>
          <t>2026-07-18</t>
        </is>
      </c>
      <c r="D503" s="47" t="inlineStr">
        <is>
          <t>Hastane (Kurumsal)</t>
        </is>
      </c>
      <c r="E503" s="47" t="inlineStr">
        <is>
          <t>Lead Toplama (Form)</t>
        </is>
      </c>
      <c r="F503" s="47" t="inlineStr">
        <is>
          <t>Lead - Estetik/Plastik/Saç</t>
        </is>
      </c>
      <c r="G503" s="84" t="n">
        <v>357.74</v>
      </c>
      <c r="H503" s="47" t="inlineStr">
        <is>
          <t>Potansiyel müşteriler (form)</t>
        </is>
      </c>
      <c r="I503" s="50" t="n">
        <v>2</v>
      </c>
      <c r="J503" s="50" t="n">
        <v>1058</v>
      </c>
      <c r="K503" s="50" t="n">
        <v>1567</v>
      </c>
    </row>
    <row r="504">
      <c r="A504" s="43" t="inlineStr">
        <is>
          <t>Doruk Hastaneleri</t>
        </is>
      </c>
      <c r="B504" s="43" t="inlineStr">
        <is>
          <t>ABO / Göz Kapağı Estetiği / plastik cerrahi / lead</t>
        </is>
      </c>
      <c r="C504" s="46" t="inlineStr">
        <is>
          <t>2026-06-28</t>
        </is>
      </c>
      <c r="D504" s="43" t="inlineStr">
        <is>
          <t>Hastane (Kurumsal)</t>
        </is>
      </c>
      <c r="E504" s="43" t="inlineStr">
        <is>
          <t>Lead Toplama (Form)</t>
        </is>
      </c>
      <c r="F504" s="43" t="inlineStr">
        <is>
          <t>Lead - Estetik/Plastik/Saç</t>
        </is>
      </c>
      <c r="G504" s="83" t="n">
        <v>355.47</v>
      </c>
      <c r="H504" s="43" t="inlineStr"/>
      <c r="I504" s="46" t="n">
        <v>0</v>
      </c>
      <c r="J504" s="46" t="n">
        <v>1951</v>
      </c>
      <c r="K504" s="46" t="n">
        <v>2857</v>
      </c>
    </row>
    <row r="505">
      <c r="A505" s="47" t="inlineStr">
        <is>
          <t>Doruk Hastaneleri</t>
        </is>
      </c>
      <c r="B505" s="47" t="inlineStr">
        <is>
          <t>ABO /Kepçe Kulak / plastik cerrahi / lead</t>
        </is>
      </c>
      <c r="C505" s="50" t="inlineStr">
        <is>
          <t>2026-07-18</t>
        </is>
      </c>
      <c r="D505" s="47" t="inlineStr">
        <is>
          <t>Hastane (Kurumsal)</t>
        </is>
      </c>
      <c r="E505" s="47" t="inlineStr">
        <is>
          <t>Lead Toplama (Form)</t>
        </is>
      </c>
      <c r="F505" s="47" t="inlineStr">
        <is>
          <t>Lead - Estetik/Plastik/Saç</t>
        </is>
      </c>
      <c r="G505" s="84" t="n">
        <v>354.97</v>
      </c>
      <c r="H505" s="47" t="inlineStr"/>
      <c r="I505" s="50" t="n">
        <v>0</v>
      </c>
      <c r="J505" s="50" t="n">
        <v>7524</v>
      </c>
      <c r="K505" s="50" t="n">
        <v>7995</v>
      </c>
    </row>
    <row r="506">
      <c r="A506" s="43" t="inlineStr">
        <is>
          <t>Doruk Hastaneleri</t>
        </is>
      </c>
      <c r="B506" s="43" t="inlineStr">
        <is>
          <t>Hemşire İş Başvuru - lead</t>
        </is>
      </c>
      <c r="C506" s="46" t="inlineStr">
        <is>
          <t>2026-07-14</t>
        </is>
      </c>
      <c r="D506" s="43" t="inlineStr">
        <is>
          <t>Hastane (Kurumsal)</t>
        </is>
      </c>
      <c r="E506" s="43" t="inlineStr">
        <is>
          <t>Lead Toplama (Form)</t>
        </is>
      </c>
      <c r="F506" s="43" t="inlineStr">
        <is>
          <t>Lead - İK/İş Başvurusu</t>
        </is>
      </c>
      <c r="G506" s="83" t="n">
        <v>354.09</v>
      </c>
      <c r="H506" s="43" t="inlineStr"/>
      <c r="I506" s="46" t="n">
        <v>0</v>
      </c>
      <c r="J506" s="46" t="n">
        <v>6190</v>
      </c>
      <c r="K506" s="46" t="n">
        <v>7815</v>
      </c>
    </row>
    <row r="507">
      <c r="A507" s="47" t="inlineStr">
        <is>
          <t>Doruk Hastaneleri</t>
        </is>
      </c>
      <c r="B507" s="47" t="inlineStr">
        <is>
          <t>ABO / Vücut Şekillendirme / plastik cerrahi / lead</t>
        </is>
      </c>
      <c r="C507" s="50" t="inlineStr">
        <is>
          <t>2026-06-28</t>
        </is>
      </c>
      <c r="D507" s="47" t="inlineStr">
        <is>
          <t>Hastane (Kurumsal)</t>
        </is>
      </c>
      <c r="E507" s="47" t="inlineStr">
        <is>
          <t>Lead Toplama (Form)</t>
        </is>
      </c>
      <c r="F507" s="47" t="inlineStr">
        <is>
          <t>Lead - Estetik/Plastik/Saç</t>
        </is>
      </c>
      <c r="G507" s="84" t="n">
        <v>353.7</v>
      </c>
      <c r="H507" s="47" t="inlineStr">
        <is>
          <t>Potansiyel müşteriler (form)</t>
        </is>
      </c>
      <c r="I507" s="50" t="n">
        <v>5</v>
      </c>
      <c r="J507" s="50" t="n">
        <v>746</v>
      </c>
      <c r="K507" s="50" t="n">
        <v>1103</v>
      </c>
    </row>
    <row r="508">
      <c r="A508" s="43" t="inlineStr">
        <is>
          <t>Doruk Hastaneleri</t>
        </is>
      </c>
      <c r="B508" s="43" t="inlineStr">
        <is>
          <t>ABO / Yüz Germe (Facelift) / plastik cerrahi / lead</t>
        </is>
      </c>
      <c r="C508" s="46" t="inlineStr">
        <is>
          <t>2026-07-18</t>
        </is>
      </c>
      <c r="D508" s="43" t="inlineStr">
        <is>
          <t>Hastane (Kurumsal)</t>
        </is>
      </c>
      <c r="E508" s="43" t="inlineStr">
        <is>
          <t>Lead Toplama (Form)</t>
        </is>
      </c>
      <c r="F508" s="43" t="inlineStr">
        <is>
          <t>Lead - Estetik/Plastik/Saç</t>
        </is>
      </c>
      <c r="G508" s="83" t="n">
        <v>352.58</v>
      </c>
      <c r="H508" s="43" t="inlineStr"/>
      <c r="I508" s="46" t="n">
        <v>0</v>
      </c>
      <c r="J508" s="46" t="n">
        <v>854</v>
      </c>
      <c r="K508" s="46" t="n">
        <v>1162</v>
      </c>
    </row>
    <row r="509">
      <c r="A509" s="47" t="inlineStr">
        <is>
          <t>Doruk Hastaneleri</t>
        </is>
      </c>
      <c r="B509" s="47" t="inlineStr">
        <is>
          <t>ABO / Göz Kapağı Estetiği / plastik cerrahi / lead</t>
        </is>
      </c>
      <c r="C509" s="50" t="inlineStr">
        <is>
          <t>2026-07-01</t>
        </is>
      </c>
      <c r="D509" s="47" t="inlineStr">
        <is>
          <t>Hastane (Kurumsal)</t>
        </is>
      </c>
      <c r="E509" s="47" t="inlineStr">
        <is>
          <t>Lead Toplama (Form)</t>
        </is>
      </c>
      <c r="F509" s="47" t="inlineStr">
        <is>
          <t>Lead - Estetik/Plastik/Saç</t>
        </is>
      </c>
      <c r="G509" s="84" t="n">
        <v>350.66</v>
      </c>
      <c r="H509" s="47" t="inlineStr">
        <is>
          <t>Potansiyel müşteriler (form)</t>
        </is>
      </c>
      <c r="I509" s="50" t="n">
        <v>3</v>
      </c>
      <c r="J509" s="50" t="n">
        <v>2038</v>
      </c>
      <c r="K509" s="50" t="n">
        <v>2898</v>
      </c>
    </row>
    <row r="510">
      <c r="A510" s="43" t="inlineStr">
        <is>
          <t>Doruk Hastaneleri</t>
        </is>
      </c>
      <c r="B510" s="43" t="inlineStr">
        <is>
          <t>ABO /Kepçe Kulak / plastik cerrahi / lead</t>
        </is>
      </c>
      <c r="C510" s="46" t="inlineStr">
        <is>
          <t>2026-06-30</t>
        </is>
      </c>
      <c r="D510" s="43" t="inlineStr">
        <is>
          <t>Hastane (Kurumsal)</t>
        </is>
      </c>
      <c r="E510" s="43" t="inlineStr">
        <is>
          <t>Lead Toplama (Form)</t>
        </is>
      </c>
      <c r="F510" s="43" t="inlineStr">
        <is>
          <t>Lead - Estetik/Plastik/Saç</t>
        </is>
      </c>
      <c r="G510" s="83" t="n">
        <v>348.35</v>
      </c>
      <c r="H510" s="43" t="inlineStr">
        <is>
          <t>Potansiyel müşteriler (form)</t>
        </is>
      </c>
      <c r="I510" s="46" t="n">
        <v>3</v>
      </c>
      <c r="J510" s="46" t="n">
        <v>6031</v>
      </c>
      <c r="K510" s="46" t="n">
        <v>6430</v>
      </c>
    </row>
    <row r="511">
      <c r="A511" s="47" t="inlineStr">
        <is>
          <t>Doruk Hastaneleri</t>
        </is>
      </c>
      <c r="B511" s="47" t="inlineStr">
        <is>
          <t>Baş Dönmesi ve Denge Ünitesi / lead</t>
        </is>
      </c>
      <c r="C511" s="50" t="inlineStr">
        <is>
          <t>2026-07-04</t>
        </is>
      </c>
      <c r="D511" s="47" t="inlineStr">
        <is>
          <t>Hastane (Kurumsal)</t>
        </is>
      </c>
      <c r="E511" s="47" t="inlineStr">
        <is>
          <t>Lead Toplama (Form)</t>
        </is>
      </c>
      <c r="F511" s="47" t="inlineStr">
        <is>
          <t>Lead - Check-up/Tarama</t>
        </is>
      </c>
      <c r="G511" s="84" t="n">
        <v>347.62</v>
      </c>
      <c r="H511" s="47" t="inlineStr">
        <is>
          <t>Potansiyel müşteriler (form)</t>
        </is>
      </c>
      <c r="I511" s="50" t="n">
        <v>4</v>
      </c>
      <c r="J511" s="50" t="n">
        <v>7303</v>
      </c>
      <c r="K511" s="50" t="n">
        <v>8750</v>
      </c>
    </row>
    <row r="512">
      <c r="A512" s="43" t="inlineStr">
        <is>
          <t>Doruk Hastaneleri</t>
        </is>
      </c>
      <c r="B512" s="43" t="inlineStr">
        <is>
          <t>ABO / Vücut Şekillendirme / plastik cerrahi / lead</t>
        </is>
      </c>
      <c r="C512" s="46" t="inlineStr">
        <is>
          <t>2026-06-23</t>
        </is>
      </c>
      <c r="D512" s="43" t="inlineStr">
        <is>
          <t>Hastane (Kurumsal)</t>
        </is>
      </c>
      <c r="E512" s="43" t="inlineStr">
        <is>
          <t>Lead Toplama (Form)</t>
        </is>
      </c>
      <c r="F512" s="43" t="inlineStr">
        <is>
          <t>Lead - Estetik/Plastik/Saç</t>
        </is>
      </c>
      <c r="G512" s="83" t="n">
        <v>346.51</v>
      </c>
      <c r="H512" s="43" t="inlineStr">
        <is>
          <t>Potansiyel müşteriler (form)</t>
        </is>
      </c>
      <c r="I512" s="46" t="n">
        <v>1</v>
      </c>
      <c r="J512" s="46" t="n">
        <v>838</v>
      </c>
      <c r="K512" s="46" t="n">
        <v>1221</v>
      </c>
    </row>
    <row r="513">
      <c r="A513" s="47" t="inlineStr">
        <is>
          <t>Doruk Hastaneleri</t>
        </is>
      </c>
      <c r="B513" s="47" t="inlineStr">
        <is>
          <t>ABO / Göz Kapağı Estetiği / plastik cerrahi / lead</t>
        </is>
      </c>
      <c r="C513" s="50" t="inlineStr">
        <is>
          <t>2026-07-18</t>
        </is>
      </c>
      <c r="D513" s="47" t="inlineStr">
        <is>
          <t>Hastane (Kurumsal)</t>
        </is>
      </c>
      <c r="E513" s="47" t="inlineStr">
        <is>
          <t>Lead Toplama (Form)</t>
        </is>
      </c>
      <c r="F513" s="47" t="inlineStr">
        <is>
          <t>Lead - Estetik/Plastik/Saç</t>
        </is>
      </c>
      <c r="G513" s="84" t="n">
        <v>345.9</v>
      </c>
      <c r="H513" s="47" t="inlineStr">
        <is>
          <t>Potansiyel müşteriler (form)</t>
        </is>
      </c>
      <c r="I513" s="50" t="n">
        <v>1</v>
      </c>
      <c r="J513" s="50" t="n">
        <v>2723</v>
      </c>
      <c r="K513" s="50" t="n">
        <v>3379</v>
      </c>
    </row>
    <row r="514">
      <c r="A514" s="43" t="inlineStr">
        <is>
          <t>Doruk Hastaneleri</t>
        </is>
      </c>
      <c r="B514" s="43" t="inlineStr">
        <is>
          <t>ABO / Göz Kapağı Estetiği / plastik cerrahi / lead</t>
        </is>
      </c>
      <c r="C514" s="46" t="inlineStr">
        <is>
          <t>2026-06-23</t>
        </is>
      </c>
      <c r="D514" s="43" t="inlineStr">
        <is>
          <t>Hastane (Kurumsal)</t>
        </is>
      </c>
      <c r="E514" s="43" t="inlineStr">
        <is>
          <t>Lead Toplama (Form)</t>
        </is>
      </c>
      <c r="F514" s="43" t="inlineStr">
        <is>
          <t>Lead - Estetik/Plastik/Saç</t>
        </is>
      </c>
      <c r="G514" s="83" t="n">
        <v>345.48</v>
      </c>
      <c r="H514" s="43" t="inlineStr"/>
      <c r="I514" s="46" t="n">
        <v>0</v>
      </c>
      <c r="J514" s="46" t="n">
        <v>2204</v>
      </c>
      <c r="K514" s="46" t="n">
        <v>2848</v>
      </c>
    </row>
    <row r="515">
      <c r="A515" s="47" t="inlineStr">
        <is>
          <t>Doruk Hastaneleri</t>
        </is>
      </c>
      <c r="B515" s="47" t="inlineStr">
        <is>
          <t>Baş Dönmesi ve Denge Ünitesi / lead</t>
        </is>
      </c>
      <c r="C515" s="50" t="inlineStr">
        <is>
          <t>2026-07-13</t>
        </is>
      </c>
      <c r="D515" s="47" t="inlineStr">
        <is>
          <t>Hastane (Kurumsal)</t>
        </is>
      </c>
      <c r="E515" s="47" t="inlineStr">
        <is>
          <t>Lead Toplama (Form)</t>
        </is>
      </c>
      <c r="F515" s="47" t="inlineStr">
        <is>
          <t>Lead - Check-up/Tarama</t>
        </is>
      </c>
      <c r="G515" s="84" t="n">
        <v>343.83</v>
      </c>
      <c r="H515" s="47" t="inlineStr">
        <is>
          <t>Potansiyel müşteriler (form)</t>
        </is>
      </c>
      <c r="I515" s="50" t="n">
        <v>2</v>
      </c>
      <c r="J515" s="50" t="n">
        <v>6350</v>
      </c>
      <c r="K515" s="50" t="n">
        <v>7811</v>
      </c>
    </row>
    <row r="516">
      <c r="A516" s="43" t="inlineStr">
        <is>
          <t>Doruk Hastaneleri</t>
        </is>
      </c>
      <c r="B516" s="43" t="inlineStr">
        <is>
          <t>ABO / Yüz Germe (Facelift) / plastik cerrahi / lead</t>
        </is>
      </c>
      <c r="C516" s="46" t="inlineStr">
        <is>
          <t>2026-07-08</t>
        </is>
      </c>
      <c r="D516" s="43" t="inlineStr">
        <is>
          <t>Hastane (Kurumsal)</t>
        </is>
      </c>
      <c r="E516" s="43" t="inlineStr">
        <is>
          <t>Lead Toplama (Form)</t>
        </is>
      </c>
      <c r="F516" s="43" t="inlineStr">
        <is>
          <t>Lead - Estetik/Plastik/Saç</t>
        </is>
      </c>
      <c r="G516" s="83" t="n">
        <v>342.71</v>
      </c>
      <c r="H516" s="43" t="inlineStr">
        <is>
          <t>Potansiyel müşteriler (form)</t>
        </is>
      </c>
      <c r="I516" s="46" t="n">
        <v>2</v>
      </c>
      <c r="J516" s="46" t="n">
        <v>825</v>
      </c>
      <c r="K516" s="46" t="n">
        <v>1100</v>
      </c>
    </row>
    <row r="517">
      <c r="A517" s="47" t="inlineStr">
        <is>
          <t>Doruk Hastaneleri</t>
        </is>
      </c>
      <c r="B517" s="47" t="inlineStr">
        <is>
          <t>ABO / Vücut Şekillendirme / plastik cerrahi / lead</t>
        </is>
      </c>
      <c r="C517" s="50" t="inlineStr">
        <is>
          <t>2026-07-16</t>
        </is>
      </c>
      <c r="D517" s="47" t="inlineStr">
        <is>
          <t>Hastane (Kurumsal)</t>
        </is>
      </c>
      <c r="E517" s="47" t="inlineStr">
        <is>
          <t>Lead Toplama (Form)</t>
        </is>
      </c>
      <c r="F517" s="47" t="inlineStr">
        <is>
          <t>Lead - Estetik/Plastik/Saç</t>
        </is>
      </c>
      <c r="G517" s="84" t="n">
        <v>342.2</v>
      </c>
      <c r="H517" s="47" t="inlineStr"/>
      <c r="I517" s="50" t="n">
        <v>0</v>
      </c>
      <c r="J517" s="50" t="n">
        <v>921</v>
      </c>
      <c r="K517" s="50" t="n">
        <v>1295</v>
      </c>
    </row>
    <row r="518">
      <c r="A518" s="43" t="inlineStr">
        <is>
          <t>Doruk Hastaneleri</t>
        </is>
      </c>
      <c r="B518" s="43" t="inlineStr">
        <is>
          <t>ABO / Yüz Germe (Facelift) / plastik cerrahi / lead</t>
        </is>
      </c>
      <c r="C518" s="46" t="inlineStr">
        <is>
          <t>2026-07-13</t>
        </is>
      </c>
      <c r="D518" s="43" t="inlineStr">
        <is>
          <t>Hastane (Kurumsal)</t>
        </is>
      </c>
      <c r="E518" s="43" t="inlineStr">
        <is>
          <t>Lead Toplama (Form)</t>
        </is>
      </c>
      <c r="F518" s="43" t="inlineStr">
        <is>
          <t>Lead - Estetik/Plastik/Saç</t>
        </is>
      </c>
      <c r="G518" s="83" t="n">
        <v>339.64</v>
      </c>
      <c r="H518" s="43" t="inlineStr"/>
      <c r="I518" s="46" t="n">
        <v>0</v>
      </c>
      <c r="J518" s="46" t="n">
        <v>791</v>
      </c>
      <c r="K518" s="46" t="n">
        <v>1089</v>
      </c>
    </row>
    <row r="519">
      <c r="A519" s="47" t="inlineStr">
        <is>
          <t>Doruk Hastaneleri</t>
        </is>
      </c>
      <c r="B519" s="47" t="inlineStr">
        <is>
          <t>ABO /Jinekomasti / plastik cerrahi / lead</t>
        </is>
      </c>
      <c r="C519" s="50" t="inlineStr">
        <is>
          <t>2026-07-18</t>
        </is>
      </c>
      <c r="D519" s="47" t="inlineStr">
        <is>
          <t>Hastane (Kurumsal)</t>
        </is>
      </c>
      <c r="E519" s="47" t="inlineStr">
        <is>
          <t>Lead Toplama (Form)</t>
        </is>
      </c>
      <c r="F519" s="47" t="inlineStr">
        <is>
          <t>Lead - Estetik/Plastik/Saç</t>
        </is>
      </c>
      <c r="G519" s="84" t="n">
        <v>338.18</v>
      </c>
      <c r="H519" s="47" t="inlineStr">
        <is>
          <t>Potansiyel müşteriler (form)</t>
        </is>
      </c>
      <c r="I519" s="50" t="n">
        <v>1</v>
      </c>
      <c r="J519" s="50" t="n">
        <v>2929</v>
      </c>
      <c r="K519" s="50" t="n">
        <v>3557</v>
      </c>
    </row>
    <row r="520">
      <c r="A520" s="43" t="inlineStr">
        <is>
          <t>Doruk Hastaneleri</t>
        </is>
      </c>
      <c r="B520" s="43" t="inlineStr">
        <is>
          <t>Baş Dönmesi ve Denge Ünitesi / lead</t>
        </is>
      </c>
      <c r="C520" s="46" t="inlineStr">
        <is>
          <t>2026-07-17</t>
        </is>
      </c>
      <c r="D520" s="43" t="inlineStr">
        <is>
          <t>Hastane (Kurumsal)</t>
        </is>
      </c>
      <c r="E520" s="43" t="inlineStr">
        <is>
          <t>Lead Toplama (Form)</t>
        </is>
      </c>
      <c r="F520" s="43" t="inlineStr">
        <is>
          <t>Lead - Check-up/Tarama</t>
        </is>
      </c>
      <c r="G520" s="83" t="n">
        <v>338.12</v>
      </c>
      <c r="H520" s="43" t="inlineStr">
        <is>
          <t>Potansiyel müşteriler (form)</t>
        </is>
      </c>
      <c r="I520" s="46" t="n">
        <v>5</v>
      </c>
      <c r="J520" s="46" t="n">
        <v>4626</v>
      </c>
      <c r="K520" s="46" t="n">
        <v>5473</v>
      </c>
    </row>
    <row r="521">
      <c r="A521" s="47" t="inlineStr">
        <is>
          <t>Doruk Hastaneleri</t>
        </is>
      </c>
      <c r="B521" s="47" t="inlineStr">
        <is>
          <t>ABO / Vücut Şekillendirme / plastik cerrahi / lead</t>
        </is>
      </c>
      <c r="C521" s="50" t="inlineStr">
        <is>
          <t>2026-07-10</t>
        </is>
      </c>
      <c r="D521" s="47" t="inlineStr">
        <is>
          <t>Hastane (Kurumsal)</t>
        </is>
      </c>
      <c r="E521" s="47" t="inlineStr">
        <is>
          <t>Lead Toplama (Form)</t>
        </is>
      </c>
      <c r="F521" s="47" t="inlineStr">
        <is>
          <t>Lead - Estetik/Plastik/Saç</t>
        </is>
      </c>
      <c r="G521" s="84" t="n">
        <v>336.57</v>
      </c>
      <c r="H521" s="47" t="inlineStr">
        <is>
          <t>Potansiyel müşteriler (form)</t>
        </is>
      </c>
      <c r="I521" s="50" t="n">
        <v>3</v>
      </c>
      <c r="J521" s="50" t="n">
        <v>878</v>
      </c>
      <c r="K521" s="50" t="n">
        <v>1215</v>
      </c>
    </row>
    <row r="522">
      <c r="A522" s="43" t="inlineStr">
        <is>
          <t>Doruk Hastaneleri</t>
        </is>
      </c>
      <c r="B522" s="43" t="inlineStr">
        <is>
          <t>ABO /Jinekomasti / plastik cerrahi / lead</t>
        </is>
      </c>
      <c r="C522" s="46" t="inlineStr">
        <is>
          <t>2026-06-28</t>
        </is>
      </c>
      <c r="D522" s="43" t="inlineStr">
        <is>
          <t>Hastane (Kurumsal)</t>
        </is>
      </c>
      <c r="E522" s="43" t="inlineStr">
        <is>
          <t>Lead Toplama (Form)</t>
        </is>
      </c>
      <c r="F522" s="43" t="inlineStr">
        <is>
          <t>Lead - Estetik/Plastik/Saç</t>
        </is>
      </c>
      <c r="G522" s="83" t="n">
        <v>336.22</v>
      </c>
      <c r="H522" s="43" t="inlineStr">
        <is>
          <t>Potansiyel müşteriler (form)</t>
        </is>
      </c>
      <c r="I522" s="46" t="n">
        <v>1</v>
      </c>
      <c r="J522" s="46" t="n">
        <v>2627</v>
      </c>
      <c r="K522" s="46" t="n">
        <v>3355</v>
      </c>
    </row>
    <row r="523">
      <c r="A523" s="47" t="inlineStr">
        <is>
          <t>Doruk Hastaneleri</t>
        </is>
      </c>
      <c r="B523" s="47" t="inlineStr">
        <is>
          <t>ABO / Vücut Şekillendirme / plastik cerrahi / lead</t>
        </is>
      </c>
      <c r="C523" s="50" t="inlineStr">
        <is>
          <t>2026-06-26</t>
        </is>
      </c>
      <c r="D523" s="47" t="inlineStr">
        <is>
          <t>Hastane (Kurumsal)</t>
        </is>
      </c>
      <c r="E523" s="47" t="inlineStr">
        <is>
          <t>Lead Toplama (Form)</t>
        </is>
      </c>
      <c r="F523" s="47" t="inlineStr">
        <is>
          <t>Lead - Estetik/Plastik/Saç</t>
        </is>
      </c>
      <c r="G523" s="84" t="n">
        <v>334.17</v>
      </c>
      <c r="H523" s="47" t="inlineStr">
        <is>
          <t>Potansiyel müşteriler (form)</t>
        </is>
      </c>
      <c r="I523" s="50" t="n">
        <v>2</v>
      </c>
      <c r="J523" s="50" t="n">
        <v>875</v>
      </c>
      <c r="K523" s="50" t="n">
        <v>1262</v>
      </c>
    </row>
    <row r="524">
      <c r="A524" s="43" t="inlineStr">
        <is>
          <t>Doruk Hastaneleri</t>
        </is>
      </c>
      <c r="B524" s="43" t="inlineStr">
        <is>
          <t>ABO / Göz Kapağı Estetiği / plastik cerrahi / lead</t>
        </is>
      </c>
      <c r="C524" s="46" t="inlineStr">
        <is>
          <t>2026-06-26</t>
        </is>
      </c>
      <c r="D524" s="43" t="inlineStr">
        <is>
          <t>Hastane (Kurumsal)</t>
        </is>
      </c>
      <c r="E524" s="43" t="inlineStr">
        <is>
          <t>Lead Toplama (Form)</t>
        </is>
      </c>
      <c r="F524" s="43" t="inlineStr">
        <is>
          <t>Lead - Estetik/Plastik/Saç</t>
        </is>
      </c>
      <c r="G524" s="83" t="n">
        <v>333.44</v>
      </c>
      <c r="H524" s="43" t="inlineStr">
        <is>
          <t>Potansiyel müşteriler (form)</t>
        </is>
      </c>
      <c r="I524" s="46" t="n">
        <v>1</v>
      </c>
      <c r="J524" s="46" t="n">
        <v>2022</v>
      </c>
      <c r="K524" s="46" t="n">
        <v>2590</v>
      </c>
    </row>
    <row r="525">
      <c r="A525" s="47" t="inlineStr">
        <is>
          <t>Doruk Hastaneleri</t>
        </is>
      </c>
      <c r="B525" s="47" t="inlineStr">
        <is>
          <t>ABO / Yüz Germe (Facelift) / plastik cerrahi / lead</t>
        </is>
      </c>
      <c r="C525" s="50" t="inlineStr">
        <is>
          <t>2026-07-01</t>
        </is>
      </c>
      <c r="D525" s="47" t="inlineStr">
        <is>
          <t>Hastane (Kurumsal)</t>
        </is>
      </c>
      <c r="E525" s="47" t="inlineStr">
        <is>
          <t>Lead Toplama (Form)</t>
        </is>
      </c>
      <c r="F525" s="47" t="inlineStr">
        <is>
          <t>Lead - Estetik/Plastik/Saç</t>
        </is>
      </c>
      <c r="G525" s="84" t="n">
        <v>331.89</v>
      </c>
      <c r="H525" s="47" t="inlineStr"/>
      <c r="I525" s="50" t="n">
        <v>0</v>
      </c>
      <c r="J525" s="50" t="n">
        <v>665</v>
      </c>
      <c r="K525" s="50" t="n">
        <v>979</v>
      </c>
    </row>
    <row r="526">
      <c r="A526" s="43" t="inlineStr">
        <is>
          <t>Doruk Hastaneleri</t>
        </is>
      </c>
      <c r="B526" s="43" t="inlineStr">
        <is>
          <t>ABO /Kepçe Kulak / plastik cerrahi / lead</t>
        </is>
      </c>
      <c r="C526" s="46" t="inlineStr">
        <is>
          <t>2026-07-08</t>
        </is>
      </c>
      <c r="D526" s="43" t="inlineStr">
        <is>
          <t>Hastane (Kurumsal)</t>
        </is>
      </c>
      <c r="E526" s="43" t="inlineStr">
        <is>
          <t>Lead Toplama (Form)</t>
        </is>
      </c>
      <c r="F526" s="43" t="inlineStr">
        <is>
          <t>Lead - Estetik/Plastik/Saç</t>
        </is>
      </c>
      <c r="G526" s="83" t="n">
        <v>330.91</v>
      </c>
      <c r="H526" s="43" t="inlineStr"/>
      <c r="I526" s="46" t="n">
        <v>0</v>
      </c>
      <c r="J526" s="46" t="n">
        <v>7680</v>
      </c>
      <c r="K526" s="46" t="n">
        <v>8456</v>
      </c>
    </row>
    <row r="527">
      <c r="A527" s="47" t="inlineStr">
        <is>
          <t>Doruk Hastaneleri</t>
        </is>
      </c>
      <c r="B527" s="47" t="inlineStr">
        <is>
          <t>ABO / Göz Kapağı Estetiği / plastik cerrahi / lead</t>
        </is>
      </c>
      <c r="C527" s="50" t="inlineStr">
        <is>
          <t>2026-07-16</t>
        </is>
      </c>
      <c r="D527" s="47" t="inlineStr">
        <is>
          <t>Hastane (Kurumsal)</t>
        </is>
      </c>
      <c r="E527" s="47" t="inlineStr">
        <is>
          <t>Lead Toplama (Form)</t>
        </is>
      </c>
      <c r="F527" s="47" t="inlineStr">
        <is>
          <t>Lead - Estetik/Plastik/Saç</t>
        </is>
      </c>
      <c r="G527" s="84" t="n">
        <v>328.93</v>
      </c>
      <c r="H527" s="47" t="inlineStr">
        <is>
          <t>Potansiyel müşteriler (form)</t>
        </is>
      </c>
      <c r="I527" s="50" t="n">
        <v>2</v>
      </c>
      <c r="J527" s="50" t="n">
        <v>2542</v>
      </c>
      <c r="K527" s="50" t="n">
        <v>3135</v>
      </c>
    </row>
    <row r="528">
      <c r="A528" s="43" t="inlineStr">
        <is>
          <t>Doruk Hastaneleri</t>
        </is>
      </c>
      <c r="B528" s="43" t="inlineStr">
        <is>
          <t>ABO / Vücut Şekillendirme / plastik cerrahi / lead</t>
        </is>
      </c>
      <c r="C528" s="46" t="inlineStr">
        <is>
          <t>2026-07-20</t>
        </is>
      </c>
      <c r="D528" s="43" t="inlineStr">
        <is>
          <t>Hastane (Kurumsal)</t>
        </is>
      </c>
      <c r="E528" s="43" t="inlineStr">
        <is>
          <t>Lead Toplama (Form)</t>
        </is>
      </c>
      <c r="F528" s="43" t="inlineStr">
        <is>
          <t>Lead - Estetik/Plastik/Saç</t>
        </is>
      </c>
      <c r="G528" s="83" t="n">
        <v>325.91</v>
      </c>
      <c r="H528" s="43" t="inlineStr">
        <is>
          <t>Potansiyel müşteriler (form)</t>
        </is>
      </c>
      <c r="I528" s="46" t="n">
        <v>2</v>
      </c>
      <c r="J528" s="46" t="n">
        <v>947</v>
      </c>
      <c r="K528" s="46" t="n">
        <v>1393</v>
      </c>
    </row>
    <row r="529">
      <c r="A529" s="47" t="inlineStr">
        <is>
          <t>Doruk Hastaneleri</t>
        </is>
      </c>
      <c r="B529" s="47" t="inlineStr">
        <is>
          <t>Checkup - genel - lead</t>
        </is>
      </c>
      <c r="C529" s="50" t="inlineStr">
        <is>
          <t>2026-07-21</t>
        </is>
      </c>
      <c r="D529" s="47" t="inlineStr">
        <is>
          <t>Hastane (Kurumsal)</t>
        </is>
      </c>
      <c r="E529" s="47" t="inlineStr">
        <is>
          <t>Lead Toplama (Form)</t>
        </is>
      </c>
      <c r="F529" s="47" t="inlineStr">
        <is>
          <t>Lead - Check-up/Tarama</t>
        </is>
      </c>
      <c r="G529" s="84" t="n">
        <v>324.2</v>
      </c>
      <c r="H529" s="47" t="inlineStr">
        <is>
          <t>Potansiyel müşteriler (form)</t>
        </is>
      </c>
      <c r="I529" s="50" t="n">
        <v>2</v>
      </c>
      <c r="J529" s="50" t="n">
        <v>1657</v>
      </c>
      <c r="K529" s="50" t="n">
        <v>1966</v>
      </c>
    </row>
    <row r="530">
      <c r="A530" s="43" t="inlineStr">
        <is>
          <t>Doruk Hastaneleri</t>
        </is>
      </c>
      <c r="B530" s="43" t="inlineStr">
        <is>
          <t>ABO /Jinekomasti / plastik cerrahi / lead</t>
        </is>
      </c>
      <c r="C530" s="46" t="inlineStr">
        <is>
          <t>2026-07-01</t>
        </is>
      </c>
      <c r="D530" s="43" t="inlineStr">
        <is>
          <t>Hastane (Kurumsal)</t>
        </is>
      </c>
      <c r="E530" s="43" t="inlineStr">
        <is>
          <t>Lead Toplama (Form)</t>
        </is>
      </c>
      <c r="F530" s="43" t="inlineStr">
        <is>
          <t>Lead - Estetik/Plastik/Saç</t>
        </is>
      </c>
      <c r="G530" s="83" t="n">
        <v>323.86</v>
      </c>
      <c r="H530" s="43" t="inlineStr"/>
      <c r="I530" s="46" t="n">
        <v>0</v>
      </c>
      <c r="J530" s="46" t="n">
        <v>2379</v>
      </c>
      <c r="K530" s="46" t="n">
        <v>3192</v>
      </c>
    </row>
    <row r="531">
      <c r="A531" s="47" t="inlineStr">
        <is>
          <t>Doruk Hastaneleri</t>
        </is>
      </c>
      <c r="B531" s="47" t="inlineStr">
        <is>
          <t>ABO /Jinekomasti / plastik cerrahi / lead</t>
        </is>
      </c>
      <c r="C531" s="50" t="inlineStr">
        <is>
          <t>2026-07-10</t>
        </is>
      </c>
      <c r="D531" s="47" t="inlineStr">
        <is>
          <t>Hastane (Kurumsal)</t>
        </is>
      </c>
      <c r="E531" s="47" t="inlineStr">
        <is>
          <t>Lead Toplama (Form)</t>
        </is>
      </c>
      <c r="F531" s="47" t="inlineStr">
        <is>
          <t>Lead - Estetik/Plastik/Saç</t>
        </is>
      </c>
      <c r="G531" s="84" t="n">
        <v>323.82</v>
      </c>
      <c r="H531" s="47" t="inlineStr">
        <is>
          <t>Potansiyel müşteriler (form)</t>
        </is>
      </c>
      <c r="I531" s="50" t="n">
        <v>1</v>
      </c>
      <c r="J531" s="50" t="n">
        <v>2963</v>
      </c>
      <c r="K531" s="50" t="n">
        <v>3742</v>
      </c>
    </row>
    <row r="532">
      <c r="A532" s="43" t="inlineStr">
        <is>
          <t>Doruk Hastaneleri</t>
        </is>
      </c>
      <c r="B532" s="43" t="inlineStr">
        <is>
          <t>ABO / Göz Kapağı Estetiği / plastik cerrahi / lead</t>
        </is>
      </c>
      <c r="C532" s="46" t="inlineStr">
        <is>
          <t>2026-07-08</t>
        </is>
      </c>
      <c r="D532" s="43" t="inlineStr">
        <is>
          <t>Hastane (Kurumsal)</t>
        </is>
      </c>
      <c r="E532" s="43" t="inlineStr">
        <is>
          <t>Lead Toplama (Form)</t>
        </is>
      </c>
      <c r="F532" s="43" t="inlineStr">
        <is>
          <t>Lead - Estetik/Plastik/Saç</t>
        </is>
      </c>
      <c r="G532" s="83" t="n">
        <v>322.26</v>
      </c>
      <c r="H532" s="43" t="inlineStr"/>
      <c r="I532" s="46" t="n">
        <v>0</v>
      </c>
      <c r="J532" s="46" t="n">
        <v>1998</v>
      </c>
      <c r="K532" s="46" t="n">
        <v>2671</v>
      </c>
    </row>
    <row r="533">
      <c r="A533" s="47" t="inlineStr">
        <is>
          <t>Doruk Hastaneleri</t>
        </is>
      </c>
      <c r="B533" s="47" t="inlineStr">
        <is>
          <t>ABO / Göz Kapağı Estetiği / plastik cerrahi / lead</t>
        </is>
      </c>
      <c r="C533" s="50" t="inlineStr">
        <is>
          <t>2026-07-10</t>
        </is>
      </c>
      <c r="D533" s="47" t="inlineStr">
        <is>
          <t>Hastane (Kurumsal)</t>
        </is>
      </c>
      <c r="E533" s="47" t="inlineStr">
        <is>
          <t>Lead Toplama (Form)</t>
        </is>
      </c>
      <c r="F533" s="47" t="inlineStr">
        <is>
          <t>Lead - Estetik/Plastik/Saç</t>
        </is>
      </c>
      <c r="G533" s="84" t="n">
        <v>321.53</v>
      </c>
      <c r="H533" s="47" t="inlineStr"/>
      <c r="I533" s="50" t="n">
        <v>0</v>
      </c>
      <c r="J533" s="50" t="n">
        <v>2196</v>
      </c>
      <c r="K533" s="50" t="n">
        <v>2905</v>
      </c>
    </row>
    <row r="534">
      <c r="A534" s="43" t="inlineStr">
        <is>
          <t>Doruk Hastaneleri</t>
        </is>
      </c>
      <c r="B534" s="43" t="inlineStr">
        <is>
          <t>ABO / Vücut Şekillendirme / plastik cerrahi / lead</t>
        </is>
      </c>
      <c r="C534" s="46" t="inlineStr">
        <is>
          <t>2026-07-13</t>
        </is>
      </c>
      <c r="D534" s="43" t="inlineStr">
        <is>
          <t>Hastane (Kurumsal)</t>
        </is>
      </c>
      <c r="E534" s="43" t="inlineStr">
        <is>
          <t>Lead Toplama (Form)</t>
        </is>
      </c>
      <c r="F534" s="43" t="inlineStr">
        <is>
          <t>Lead - Estetik/Plastik/Saç</t>
        </is>
      </c>
      <c r="G534" s="83" t="n">
        <v>321.23</v>
      </c>
      <c r="H534" s="43" t="inlineStr">
        <is>
          <t>Potansiyel müşteriler (form)</t>
        </is>
      </c>
      <c r="I534" s="46" t="n">
        <v>2</v>
      </c>
      <c r="J534" s="46" t="n">
        <v>843</v>
      </c>
      <c r="K534" s="46" t="n">
        <v>1269</v>
      </c>
    </row>
    <row r="535">
      <c r="A535" s="47" t="inlineStr">
        <is>
          <t>Doruk Hastaneleri</t>
        </is>
      </c>
      <c r="B535" s="47" t="inlineStr">
        <is>
          <t>ABO / Vücut Şekillendirme / plastik cerrahi / lead</t>
        </is>
      </c>
      <c r="C535" s="50" t="inlineStr">
        <is>
          <t>2026-07-01</t>
        </is>
      </c>
      <c r="D535" s="47" t="inlineStr">
        <is>
          <t>Hastane (Kurumsal)</t>
        </is>
      </c>
      <c r="E535" s="47" t="inlineStr">
        <is>
          <t>Lead Toplama (Form)</t>
        </is>
      </c>
      <c r="F535" s="47" t="inlineStr">
        <is>
          <t>Lead - Estetik/Plastik/Saç</t>
        </is>
      </c>
      <c r="G535" s="84" t="n">
        <v>320.36</v>
      </c>
      <c r="H535" s="47" t="inlineStr">
        <is>
          <t>Potansiyel müşteriler (form)</t>
        </is>
      </c>
      <c r="I535" s="50" t="n">
        <v>2</v>
      </c>
      <c r="J535" s="50" t="n">
        <v>627</v>
      </c>
      <c r="K535" s="50" t="n">
        <v>955</v>
      </c>
    </row>
    <row r="536">
      <c r="A536" s="43" t="inlineStr">
        <is>
          <t>Doruk Hastaneleri</t>
        </is>
      </c>
      <c r="B536" s="43" t="inlineStr">
        <is>
          <t>Prostat Checkup - lead</t>
        </is>
      </c>
      <c r="C536" s="46" t="inlineStr">
        <is>
          <t>2026-07-05</t>
        </is>
      </c>
      <c r="D536" s="43" t="inlineStr">
        <is>
          <t>Hastane (Kurumsal)</t>
        </is>
      </c>
      <c r="E536" s="43" t="inlineStr">
        <is>
          <t>Lead Toplama (Form)</t>
        </is>
      </c>
      <c r="F536" s="43" t="inlineStr">
        <is>
          <t>Lead - Check-up/Tarama</t>
        </is>
      </c>
      <c r="G536" s="83" t="n">
        <v>320.21</v>
      </c>
      <c r="H536" s="43" t="inlineStr"/>
      <c r="I536" s="46" t="n">
        <v>0</v>
      </c>
      <c r="J536" s="46" t="n">
        <v>3770</v>
      </c>
      <c r="K536" s="46" t="n">
        <v>4713</v>
      </c>
    </row>
    <row r="537">
      <c r="A537" s="47" t="inlineStr">
        <is>
          <t>Doruk Hastaneleri</t>
        </is>
      </c>
      <c r="B537" s="47" t="inlineStr">
        <is>
          <t>ABO / Göz Kapağı Estetiği / plastik cerrahi / lead</t>
        </is>
      </c>
      <c r="C537" s="50" t="inlineStr">
        <is>
          <t>2026-07-02</t>
        </is>
      </c>
      <c r="D537" s="47" t="inlineStr">
        <is>
          <t>Hastane (Kurumsal)</t>
        </is>
      </c>
      <c r="E537" s="47" t="inlineStr">
        <is>
          <t>Lead Toplama (Form)</t>
        </is>
      </c>
      <c r="F537" s="47" t="inlineStr">
        <is>
          <t>Lead - Estetik/Plastik/Saç</t>
        </is>
      </c>
      <c r="G537" s="84" t="n">
        <v>319.91</v>
      </c>
      <c r="H537" s="47" t="inlineStr">
        <is>
          <t>Potansiyel müşteriler (form)</t>
        </is>
      </c>
      <c r="I537" s="50" t="n">
        <v>1</v>
      </c>
      <c r="J537" s="50" t="n">
        <v>2132</v>
      </c>
      <c r="K537" s="50" t="n">
        <v>3013</v>
      </c>
    </row>
    <row r="538">
      <c r="A538" s="43" t="inlineStr">
        <is>
          <t>Doruk Hastaneleri</t>
        </is>
      </c>
      <c r="B538" s="43" t="inlineStr">
        <is>
          <t>ABO /Kepçe Kulak / plastik cerrahi / lead</t>
        </is>
      </c>
      <c r="C538" s="46" t="inlineStr">
        <is>
          <t>2026-06-28</t>
        </is>
      </c>
      <c r="D538" s="43" t="inlineStr">
        <is>
          <t>Hastane (Kurumsal)</t>
        </is>
      </c>
      <c r="E538" s="43" t="inlineStr">
        <is>
          <t>Lead Toplama (Form)</t>
        </is>
      </c>
      <c r="F538" s="43" t="inlineStr">
        <is>
          <t>Lead - Estetik/Plastik/Saç</t>
        </is>
      </c>
      <c r="G538" s="83" t="n">
        <v>319.64</v>
      </c>
      <c r="H538" s="43" t="inlineStr">
        <is>
          <t>Potansiyel müşteriler (form)</t>
        </is>
      </c>
      <c r="I538" s="46" t="n">
        <v>1</v>
      </c>
      <c r="J538" s="46" t="n">
        <v>3423</v>
      </c>
      <c r="K538" s="46" t="n">
        <v>3996</v>
      </c>
    </row>
    <row r="539">
      <c r="A539" s="47" t="inlineStr">
        <is>
          <t>Doruk Hastaneleri</t>
        </is>
      </c>
      <c r="B539" s="47" t="inlineStr">
        <is>
          <t>ABO /Jinekomasti / plastik cerrahi / lead</t>
        </is>
      </c>
      <c r="C539" s="50" t="inlineStr">
        <is>
          <t>2026-07-16</t>
        </is>
      </c>
      <c r="D539" s="47" t="inlineStr">
        <is>
          <t>Hastane (Kurumsal)</t>
        </is>
      </c>
      <c r="E539" s="47" t="inlineStr">
        <is>
          <t>Lead Toplama (Form)</t>
        </is>
      </c>
      <c r="F539" s="47" t="inlineStr">
        <is>
          <t>Lead - Estetik/Plastik/Saç</t>
        </is>
      </c>
      <c r="G539" s="84" t="n">
        <v>319.37</v>
      </c>
      <c r="H539" s="47" t="inlineStr">
        <is>
          <t>Potansiyel müşteriler (form)</t>
        </is>
      </c>
      <c r="I539" s="50" t="n">
        <v>1</v>
      </c>
      <c r="J539" s="50" t="n">
        <v>2514</v>
      </c>
      <c r="K539" s="50" t="n">
        <v>3449</v>
      </c>
    </row>
    <row r="540">
      <c r="A540" s="43" t="inlineStr">
        <is>
          <t>Doruk Hastaneleri</t>
        </is>
      </c>
      <c r="B540" s="43" t="inlineStr">
        <is>
          <t>ABO / Meme Estetiği / plastik cerrahi / lead</t>
        </is>
      </c>
      <c r="C540" s="46" t="inlineStr">
        <is>
          <t>2026-07-14</t>
        </is>
      </c>
      <c r="D540" s="43" t="inlineStr">
        <is>
          <t>Hastane (Kurumsal)</t>
        </is>
      </c>
      <c r="E540" s="43" t="inlineStr">
        <is>
          <t>Lead Toplama (Form)</t>
        </is>
      </c>
      <c r="F540" s="43" t="inlineStr">
        <is>
          <t>Lead - Estetik/Plastik/Saç</t>
        </is>
      </c>
      <c r="G540" s="83" t="n">
        <v>318.56</v>
      </c>
      <c r="H540" s="43" t="inlineStr">
        <is>
          <t>Potansiyel müşteriler (form)</t>
        </is>
      </c>
      <c r="I540" s="46" t="n">
        <v>1</v>
      </c>
      <c r="J540" s="46" t="n">
        <v>2181</v>
      </c>
      <c r="K540" s="46" t="n">
        <v>2543</v>
      </c>
    </row>
    <row r="541">
      <c r="A541" s="47" t="inlineStr">
        <is>
          <t>Doruk Hastaneleri</t>
        </is>
      </c>
      <c r="B541" s="47" t="inlineStr">
        <is>
          <t>Prostat Checkup - lead</t>
        </is>
      </c>
      <c r="C541" s="50" t="inlineStr">
        <is>
          <t>2026-07-22</t>
        </is>
      </c>
      <c r="D541" s="47" t="inlineStr">
        <is>
          <t>Hastane (Kurumsal)</t>
        </is>
      </c>
      <c r="E541" s="47" t="inlineStr">
        <is>
          <t>Lead Toplama (Form)</t>
        </is>
      </c>
      <c r="F541" s="47" t="inlineStr">
        <is>
          <t>Lead - Check-up/Tarama</t>
        </is>
      </c>
      <c r="G541" s="84" t="n">
        <v>317.5</v>
      </c>
      <c r="H541" s="47" t="inlineStr">
        <is>
          <t>Potansiyel müşteriler (form)</t>
        </is>
      </c>
      <c r="I541" s="50" t="n">
        <v>4</v>
      </c>
      <c r="J541" s="50" t="n">
        <v>4795</v>
      </c>
      <c r="K541" s="50" t="n">
        <v>5630</v>
      </c>
    </row>
    <row r="542">
      <c r="A542" s="43" t="inlineStr">
        <is>
          <t>Doruk Hastaneleri</t>
        </is>
      </c>
      <c r="B542" s="43" t="inlineStr">
        <is>
          <t>ABO /Jinekomasti / plastik cerrahi / lead</t>
        </is>
      </c>
      <c r="C542" s="46" t="inlineStr">
        <is>
          <t>2026-07-13</t>
        </is>
      </c>
      <c r="D542" s="43" t="inlineStr">
        <is>
          <t>Hastane (Kurumsal)</t>
        </is>
      </c>
      <c r="E542" s="43" t="inlineStr">
        <is>
          <t>Lead Toplama (Form)</t>
        </is>
      </c>
      <c r="F542" s="43" t="inlineStr">
        <is>
          <t>Lead - Estetik/Plastik/Saç</t>
        </is>
      </c>
      <c r="G542" s="83" t="n">
        <v>317.43</v>
      </c>
      <c r="H542" s="43" t="inlineStr">
        <is>
          <t>Potansiyel müşteriler (form)</t>
        </is>
      </c>
      <c r="I542" s="46" t="n">
        <v>1</v>
      </c>
      <c r="J542" s="46" t="n">
        <v>2518</v>
      </c>
      <c r="K542" s="46" t="n">
        <v>3573</v>
      </c>
    </row>
    <row r="543">
      <c r="A543" s="47" t="inlineStr">
        <is>
          <t>Doruk Hastaneleri</t>
        </is>
      </c>
      <c r="B543" s="47" t="inlineStr">
        <is>
          <t>Baş Dönmesi ve Denge Ünitesi / lead</t>
        </is>
      </c>
      <c r="C543" s="50" t="inlineStr">
        <is>
          <t>2026-06-30</t>
        </is>
      </c>
      <c r="D543" s="47" t="inlineStr">
        <is>
          <t>Hastane (Kurumsal)</t>
        </is>
      </c>
      <c r="E543" s="47" t="inlineStr">
        <is>
          <t>Lead Toplama (Form)</t>
        </is>
      </c>
      <c r="F543" s="47" t="inlineStr">
        <is>
          <t>Lead - Check-up/Tarama</t>
        </is>
      </c>
      <c r="G543" s="84" t="n">
        <v>316.74</v>
      </c>
      <c r="H543" s="47" t="inlineStr">
        <is>
          <t>Potansiyel müşteriler (form)</t>
        </is>
      </c>
      <c r="I543" s="50" t="n">
        <v>3</v>
      </c>
      <c r="J543" s="50" t="n">
        <v>5157</v>
      </c>
      <c r="K543" s="50" t="n">
        <v>6252</v>
      </c>
    </row>
    <row r="544">
      <c r="A544" s="43" t="inlineStr">
        <is>
          <t>Doruk Hastaneleri</t>
        </is>
      </c>
      <c r="B544" s="43" t="inlineStr">
        <is>
          <t>ABO /Jinekomasti / plastik cerrahi / lead</t>
        </is>
      </c>
      <c r="C544" s="46" t="inlineStr">
        <is>
          <t>2026-07-02</t>
        </is>
      </c>
      <c r="D544" s="43" t="inlineStr">
        <is>
          <t>Hastane (Kurumsal)</t>
        </is>
      </c>
      <c r="E544" s="43" t="inlineStr">
        <is>
          <t>Lead Toplama (Form)</t>
        </is>
      </c>
      <c r="F544" s="43" t="inlineStr">
        <is>
          <t>Lead - Estetik/Plastik/Saç</t>
        </is>
      </c>
      <c r="G544" s="83" t="n">
        <v>315.28</v>
      </c>
      <c r="H544" s="43" t="inlineStr">
        <is>
          <t>Potansiyel müşteriler (form)</t>
        </is>
      </c>
      <c r="I544" s="46" t="n">
        <v>2</v>
      </c>
      <c r="J544" s="46" t="n">
        <v>2096</v>
      </c>
      <c r="K544" s="46" t="n">
        <v>2849</v>
      </c>
    </row>
    <row r="545">
      <c r="A545" s="47" t="inlineStr">
        <is>
          <t>Doruk Hastaneleri</t>
        </is>
      </c>
      <c r="B545" s="47" t="inlineStr">
        <is>
          <t>ABO / Göz Kapağı Estetiği / plastik cerrahi / lead</t>
        </is>
      </c>
      <c r="C545" s="50" t="inlineStr">
        <is>
          <t>2026-07-03</t>
        </is>
      </c>
      <c r="D545" s="47" t="inlineStr">
        <is>
          <t>Hastane (Kurumsal)</t>
        </is>
      </c>
      <c r="E545" s="47" t="inlineStr">
        <is>
          <t>Lead Toplama (Form)</t>
        </is>
      </c>
      <c r="F545" s="47" t="inlineStr">
        <is>
          <t>Lead - Estetik/Plastik/Saç</t>
        </is>
      </c>
      <c r="G545" s="84" t="n">
        <v>313.23</v>
      </c>
      <c r="H545" s="47" t="inlineStr"/>
      <c r="I545" s="50" t="n">
        <v>0</v>
      </c>
      <c r="J545" s="50" t="n">
        <v>1758</v>
      </c>
      <c r="K545" s="50" t="n">
        <v>2461</v>
      </c>
    </row>
    <row r="546">
      <c r="A546" s="43" t="inlineStr">
        <is>
          <t>Doruk Hastaneleri</t>
        </is>
      </c>
      <c r="B546" s="43" t="inlineStr">
        <is>
          <t>ABO / Vücut Şekillendirme / plastik cerrahi / lead</t>
        </is>
      </c>
      <c r="C546" s="46" t="inlineStr">
        <is>
          <t>2026-07-08</t>
        </is>
      </c>
      <c r="D546" s="43" t="inlineStr">
        <is>
          <t>Hastane (Kurumsal)</t>
        </is>
      </c>
      <c r="E546" s="43" t="inlineStr">
        <is>
          <t>Lead Toplama (Form)</t>
        </is>
      </c>
      <c r="F546" s="43" t="inlineStr">
        <is>
          <t>Lead - Estetik/Plastik/Saç</t>
        </is>
      </c>
      <c r="G546" s="83" t="n">
        <v>312.71</v>
      </c>
      <c r="H546" s="43" t="inlineStr">
        <is>
          <t>Potansiyel müşteriler (form)</t>
        </is>
      </c>
      <c r="I546" s="46" t="n">
        <v>4</v>
      </c>
      <c r="J546" s="46" t="n">
        <v>898</v>
      </c>
      <c r="K546" s="46" t="n">
        <v>1293</v>
      </c>
    </row>
    <row r="547">
      <c r="A547" s="47" t="inlineStr">
        <is>
          <t>Doruk Hastaneleri</t>
        </is>
      </c>
      <c r="B547" s="47" t="inlineStr">
        <is>
          <t>ABO / Yüz Germe (Facelift) / plastik cerrahi / lead</t>
        </is>
      </c>
      <c r="C547" s="50" t="inlineStr">
        <is>
          <t>2026-06-26</t>
        </is>
      </c>
      <c r="D547" s="47" t="inlineStr">
        <is>
          <t>Hastane (Kurumsal)</t>
        </is>
      </c>
      <c r="E547" s="47" t="inlineStr">
        <is>
          <t>Lead Toplama (Form)</t>
        </is>
      </c>
      <c r="F547" s="47" t="inlineStr">
        <is>
          <t>Lead - Estetik/Plastik/Saç</t>
        </is>
      </c>
      <c r="G547" s="84" t="n">
        <v>312.21</v>
      </c>
      <c r="H547" s="47" t="inlineStr"/>
      <c r="I547" s="50" t="n">
        <v>0</v>
      </c>
      <c r="J547" s="50" t="n">
        <v>724</v>
      </c>
      <c r="K547" s="50" t="n">
        <v>990</v>
      </c>
    </row>
    <row r="548">
      <c r="A548" s="43" t="inlineStr">
        <is>
          <t>Doruk Hastaneleri</t>
        </is>
      </c>
      <c r="B548" s="43" t="inlineStr">
        <is>
          <t>ABO / Göz Kapağı Estetiği / plastik cerrahi / lead</t>
        </is>
      </c>
      <c r="C548" s="46" t="inlineStr">
        <is>
          <t>2026-07-04</t>
        </is>
      </c>
      <c r="D548" s="43" t="inlineStr">
        <is>
          <t>Hastane (Kurumsal)</t>
        </is>
      </c>
      <c r="E548" s="43" t="inlineStr">
        <is>
          <t>Lead Toplama (Form)</t>
        </is>
      </c>
      <c r="F548" s="43" t="inlineStr">
        <is>
          <t>Lead - Estetik/Plastik/Saç</t>
        </is>
      </c>
      <c r="G548" s="83" t="n">
        <v>311.62</v>
      </c>
      <c r="H548" s="43" t="inlineStr">
        <is>
          <t>Potansiyel müşteriler (form)</t>
        </is>
      </c>
      <c r="I548" s="46" t="n">
        <v>1</v>
      </c>
      <c r="J548" s="46" t="n">
        <v>3136</v>
      </c>
      <c r="K548" s="46" t="n">
        <v>3749</v>
      </c>
    </row>
    <row r="549">
      <c r="A549" s="47" t="inlineStr">
        <is>
          <t>Doruk Hastaneleri</t>
        </is>
      </c>
      <c r="B549" s="47" t="inlineStr">
        <is>
          <t>ABO /Kepçe Kulak / plastik cerrahi / lead</t>
        </is>
      </c>
      <c r="C549" s="50" t="inlineStr">
        <is>
          <t>2026-07-16</t>
        </is>
      </c>
      <c r="D549" s="47" t="inlineStr">
        <is>
          <t>Hastane (Kurumsal)</t>
        </is>
      </c>
      <c r="E549" s="47" t="inlineStr">
        <is>
          <t>Lead Toplama (Form)</t>
        </is>
      </c>
      <c r="F549" s="47" t="inlineStr">
        <is>
          <t>Lead - Estetik/Plastik/Saç</t>
        </is>
      </c>
      <c r="G549" s="84" t="n">
        <v>311.43</v>
      </c>
      <c r="H549" s="47" t="inlineStr">
        <is>
          <t>Potansiyel müşteriler (form)</t>
        </is>
      </c>
      <c r="I549" s="50" t="n">
        <v>1</v>
      </c>
      <c r="J549" s="50" t="n">
        <v>8299</v>
      </c>
      <c r="K549" s="50" t="n">
        <v>8894</v>
      </c>
    </row>
    <row r="550">
      <c r="A550" s="43" t="inlineStr">
        <is>
          <t>Doruk Hastaneleri</t>
        </is>
      </c>
      <c r="B550" s="43" t="inlineStr">
        <is>
          <t>ABO / Vücut Şekillendirme / plastik cerrahi / lead</t>
        </is>
      </c>
      <c r="C550" s="46" t="inlineStr">
        <is>
          <t>2026-07-02</t>
        </is>
      </c>
      <c r="D550" s="43" t="inlineStr">
        <is>
          <t>Hastane (Kurumsal)</t>
        </is>
      </c>
      <c r="E550" s="43" t="inlineStr">
        <is>
          <t>Lead Toplama (Form)</t>
        </is>
      </c>
      <c r="F550" s="43" t="inlineStr">
        <is>
          <t>Lead - Estetik/Plastik/Saç</t>
        </is>
      </c>
      <c r="G550" s="83" t="n">
        <v>309.67</v>
      </c>
      <c r="H550" s="43" t="inlineStr">
        <is>
          <t>Potansiyel müşteriler (form)</t>
        </is>
      </c>
      <c r="I550" s="46" t="n">
        <v>3</v>
      </c>
      <c r="J550" s="46" t="n">
        <v>630</v>
      </c>
      <c r="K550" s="46" t="n">
        <v>969</v>
      </c>
    </row>
    <row r="551">
      <c r="A551" s="47" t="inlineStr">
        <is>
          <t>Doruk Hastaneleri</t>
        </is>
      </c>
      <c r="B551" s="47" t="inlineStr">
        <is>
          <t>ABO /Kepçe Kulak / plastik cerrahi / lead</t>
        </is>
      </c>
      <c r="C551" s="50" t="inlineStr">
        <is>
          <t>2026-07-10</t>
        </is>
      </c>
      <c r="D551" s="47" t="inlineStr">
        <is>
          <t>Hastane (Kurumsal)</t>
        </is>
      </c>
      <c r="E551" s="47" t="inlineStr">
        <is>
          <t>Lead Toplama (Form)</t>
        </is>
      </c>
      <c r="F551" s="47" t="inlineStr">
        <is>
          <t>Lead - Estetik/Plastik/Saç</t>
        </is>
      </c>
      <c r="G551" s="84" t="n">
        <v>309.15</v>
      </c>
      <c r="H551" s="47" t="inlineStr">
        <is>
          <t>Potansiyel müşteriler (form)</t>
        </is>
      </c>
      <c r="I551" s="50" t="n">
        <v>2</v>
      </c>
      <c r="J551" s="50" t="n">
        <v>7615</v>
      </c>
      <c r="K551" s="50" t="n">
        <v>8031</v>
      </c>
    </row>
    <row r="552">
      <c r="A552" s="43" t="inlineStr">
        <is>
          <t>Doruk Hastaneleri</t>
        </is>
      </c>
      <c r="B552" s="43" t="inlineStr">
        <is>
          <t>ABO / Vücut Şekillendirme / plastik cerrahi / lead</t>
        </is>
      </c>
      <c r="C552" s="46" t="inlineStr">
        <is>
          <t>2026-07-04</t>
        </is>
      </c>
      <c r="D552" s="43" t="inlineStr">
        <is>
          <t>Hastane (Kurumsal)</t>
        </is>
      </c>
      <c r="E552" s="43" t="inlineStr">
        <is>
          <t>Lead Toplama (Form)</t>
        </is>
      </c>
      <c r="F552" s="43" t="inlineStr">
        <is>
          <t>Lead - Estetik/Plastik/Saç</t>
        </is>
      </c>
      <c r="G552" s="83" t="n">
        <v>309.15</v>
      </c>
      <c r="H552" s="43" t="inlineStr">
        <is>
          <t>Potansiyel müşteriler (form)</t>
        </is>
      </c>
      <c r="I552" s="46" t="n">
        <v>3</v>
      </c>
      <c r="J552" s="46" t="n">
        <v>1024</v>
      </c>
      <c r="K552" s="46" t="n">
        <v>1334</v>
      </c>
    </row>
    <row r="553">
      <c r="A553" s="47" t="inlineStr">
        <is>
          <t>Doruk Hastaneleri</t>
        </is>
      </c>
      <c r="B553" s="47" t="inlineStr">
        <is>
          <t>ABO / Yüz Germe (Facelift) / plastik cerrahi / lead</t>
        </is>
      </c>
      <c r="C553" s="50" t="inlineStr">
        <is>
          <t>2026-07-16</t>
        </is>
      </c>
      <c r="D553" s="47" t="inlineStr">
        <is>
          <t>Hastane (Kurumsal)</t>
        </is>
      </c>
      <c r="E553" s="47" t="inlineStr">
        <is>
          <t>Lead Toplama (Form)</t>
        </is>
      </c>
      <c r="F553" s="47" t="inlineStr">
        <is>
          <t>Lead - Estetik/Plastik/Saç</t>
        </is>
      </c>
      <c r="G553" s="84" t="n">
        <v>308.41</v>
      </c>
      <c r="H553" s="47" t="inlineStr">
        <is>
          <t>Potansiyel müşteriler (form)</t>
        </is>
      </c>
      <c r="I553" s="50" t="n">
        <v>1</v>
      </c>
      <c r="J553" s="50" t="n">
        <v>551</v>
      </c>
      <c r="K553" s="50" t="n">
        <v>762</v>
      </c>
    </row>
    <row r="554">
      <c r="A554" s="43" t="inlineStr">
        <is>
          <t>Doruk Hastaneleri</t>
        </is>
      </c>
      <c r="B554" s="43" t="inlineStr">
        <is>
          <t>ABO / Yüz Germe (Facelift) / plastik cerrahi / lead</t>
        </is>
      </c>
      <c r="C554" s="46" t="inlineStr">
        <is>
          <t>2026-06-23</t>
        </is>
      </c>
      <c r="D554" s="43" t="inlineStr">
        <is>
          <t>Hastane (Kurumsal)</t>
        </is>
      </c>
      <c r="E554" s="43" t="inlineStr">
        <is>
          <t>Lead Toplama (Form)</t>
        </is>
      </c>
      <c r="F554" s="43" t="inlineStr">
        <is>
          <t>Lead - Estetik/Plastik/Saç</t>
        </is>
      </c>
      <c r="G554" s="83" t="n">
        <v>308.3</v>
      </c>
      <c r="H554" s="43" t="inlineStr"/>
      <c r="I554" s="46" t="n">
        <v>0</v>
      </c>
      <c r="J554" s="46" t="n">
        <v>675</v>
      </c>
      <c r="K554" s="46" t="n">
        <v>870</v>
      </c>
    </row>
    <row r="555">
      <c r="A555" s="47" t="inlineStr">
        <is>
          <t>Doruk Hastaneleri</t>
        </is>
      </c>
      <c r="B555" s="47" t="inlineStr">
        <is>
          <t>ABO / Yüz Germe (Facelift) / plastik cerrahi / lead</t>
        </is>
      </c>
      <c r="C555" s="50" t="inlineStr">
        <is>
          <t>2026-07-10</t>
        </is>
      </c>
      <c r="D555" s="47" t="inlineStr">
        <is>
          <t>Hastane (Kurumsal)</t>
        </is>
      </c>
      <c r="E555" s="47" t="inlineStr">
        <is>
          <t>Lead Toplama (Form)</t>
        </is>
      </c>
      <c r="F555" s="47" t="inlineStr">
        <is>
          <t>Lead - Estetik/Plastik/Saç</t>
        </is>
      </c>
      <c r="G555" s="84" t="n">
        <v>308.03</v>
      </c>
      <c r="H555" s="47" t="inlineStr">
        <is>
          <t>Potansiyel müşteriler (form)</t>
        </is>
      </c>
      <c r="I555" s="50" t="n">
        <v>1</v>
      </c>
      <c r="J555" s="50" t="n">
        <v>801</v>
      </c>
      <c r="K555" s="50" t="n">
        <v>1069</v>
      </c>
    </row>
    <row r="556">
      <c r="A556" s="43" t="inlineStr">
        <is>
          <t>Doruk Hastaneleri</t>
        </is>
      </c>
      <c r="B556" s="43" t="inlineStr">
        <is>
          <t>ABO /Jinekomasti / plastik cerrahi / lead</t>
        </is>
      </c>
      <c r="C556" s="46" t="inlineStr">
        <is>
          <t>2026-07-08</t>
        </is>
      </c>
      <c r="D556" s="43" t="inlineStr">
        <is>
          <t>Hastane (Kurumsal)</t>
        </is>
      </c>
      <c r="E556" s="43" t="inlineStr">
        <is>
          <t>Lead Toplama (Form)</t>
        </is>
      </c>
      <c r="F556" s="43" t="inlineStr">
        <is>
          <t>Lead - Estetik/Plastik/Saç</t>
        </is>
      </c>
      <c r="G556" s="83" t="n">
        <v>307.86</v>
      </c>
      <c r="H556" s="43" t="inlineStr"/>
      <c r="I556" s="46" t="n">
        <v>0</v>
      </c>
      <c r="J556" s="46" t="n">
        <v>2124</v>
      </c>
      <c r="K556" s="46" t="n">
        <v>2853</v>
      </c>
    </row>
    <row r="557">
      <c r="A557" s="47" t="inlineStr">
        <is>
          <t>Doruk Hastaneleri</t>
        </is>
      </c>
      <c r="B557" s="47" t="inlineStr">
        <is>
          <t>ABO /Jinekomasti / plastik cerrahi / lead</t>
        </is>
      </c>
      <c r="C557" s="50" t="inlineStr">
        <is>
          <t>2026-07-04</t>
        </is>
      </c>
      <c r="D557" s="47" t="inlineStr">
        <is>
          <t>Hastane (Kurumsal)</t>
        </is>
      </c>
      <c r="E557" s="47" t="inlineStr">
        <is>
          <t>Lead Toplama (Form)</t>
        </is>
      </c>
      <c r="F557" s="47" t="inlineStr">
        <is>
          <t>Lead - Estetik/Plastik/Saç</t>
        </is>
      </c>
      <c r="G557" s="84" t="n">
        <v>307.84</v>
      </c>
      <c r="H557" s="47" t="inlineStr">
        <is>
          <t>Potansiyel müşteriler (form)</t>
        </is>
      </c>
      <c r="I557" s="50" t="n">
        <v>1</v>
      </c>
      <c r="J557" s="50" t="n">
        <v>3847</v>
      </c>
      <c r="K557" s="50" t="n">
        <v>4295</v>
      </c>
    </row>
    <row r="558">
      <c r="A558" s="43" t="inlineStr">
        <is>
          <t>Doruk Hastaneleri</t>
        </is>
      </c>
      <c r="B558" s="43" t="inlineStr">
        <is>
          <t>Baş Dönmesi ve Denge Ünitesi / lead</t>
        </is>
      </c>
      <c r="C558" s="46" t="inlineStr">
        <is>
          <t>2026-07-20</t>
        </is>
      </c>
      <c r="D558" s="43" t="inlineStr">
        <is>
          <t>Hastane (Kurumsal)</t>
        </is>
      </c>
      <c r="E558" s="43" t="inlineStr">
        <is>
          <t>Lead Toplama (Form)</t>
        </is>
      </c>
      <c r="F558" s="43" t="inlineStr">
        <is>
          <t>Lead - Check-up/Tarama</t>
        </is>
      </c>
      <c r="G558" s="83" t="n">
        <v>304.5</v>
      </c>
      <c r="H558" s="43" t="inlineStr">
        <is>
          <t>Potansiyel müşteriler (form)</t>
        </is>
      </c>
      <c r="I558" s="46" t="n">
        <v>2</v>
      </c>
      <c r="J558" s="46" t="n">
        <v>4569</v>
      </c>
      <c r="K558" s="46" t="n">
        <v>5582</v>
      </c>
    </row>
    <row r="559">
      <c r="A559" s="47" t="inlineStr">
        <is>
          <t>Doruk Hastaneleri</t>
        </is>
      </c>
      <c r="B559" s="47" t="inlineStr">
        <is>
          <t>ABO / Yüz Germe (Facelift) / plastik cerrahi / lead</t>
        </is>
      </c>
      <c r="C559" s="50" t="inlineStr">
        <is>
          <t>2026-07-04</t>
        </is>
      </c>
      <c r="D559" s="47" t="inlineStr">
        <is>
          <t>Hastane (Kurumsal)</t>
        </is>
      </c>
      <c r="E559" s="47" t="inlineStr">
        <is>
          <t>Lead Toplama (Form)</t>
        </is>
      </c>
      <c r="F559" s="47" t="inlineStr">
        <is>
          <t>Lead - Estetik/Plastik/Saç</t>
        </is>
      </c>
      <c r="G559" s="84" t="n">
        <v>302.87</v>
      </c>
      <c r="H559" s="47" t="inlineStr">
        <is>
          <t>Potansiyel müşteriler (form)</t>
        </is>
      </c>
      <c r="I559" s="50" t="n">
        <v>2</v>
      </c>
      <c r="J559" s="50" t="n">
        <v>939</v>
      </c>
      <c r="K559" s="50" t="n">
        <v>1183</v>
      </c>
    </row>
    <row r="560">
      <c r="A560" s="43" t="inlineStr">
        <is>
          <t>Doruk Hastaneleri</t>
        </is>
      </c>
      <c r="B560" s="43" t="inlineStr">
        <is>
          <t>ABO /Jinekomasti / plastik cerrahi / lead</t>
        </is>
      </c>
      <c r="C560" s="46" t="inlineStr">
        <is>
          <t>2026-06-26</t>
        </is>
      </c>
      <c r="D560" s="43" t="inlineStr">
        <is>
          <t>Hastane (Kurumsal)</t>
        </is>
      </c>
      <c r="E560" s="43" t="inlineStr">
        <is>
          <t>Lead Toplama (Form)</t>
        </is>
      </c>
      <c r="F560" s="43" t="inlineStr">
        <is>
          <t>Lead - Estetik/Plastik/Saç</t>
        </is>
      </c>
      <c r="G560" s="83" t="n">
        <v>301.99</v>
      </c>
      <c r="H560" s="43" t="inlineStr">
        <is>
          <t>Potansiyel müşteriler (form)</t>
        </is>
      </c>
      <c r="I560" s="46" t="n">
        <v>1</v>
      </c>
      <c r="J560" s="46" t="n">
        <v>3225</v>
      </c>
      <c r="K560" s="46" t="n">
        <v>4102</v>
      </c>
    </row>
    <row r="561">
      <c r="A561" s="47" t="inlineStr">
        <is>
          <t>Doruk Hastaneleri</t>
        </is>
      </c>
      <c r="B561" s="47" t="inlineStr">
        <is>
          <t>ABO /Kepçe Kulak / plastik cerrahi / lead</t>
        </is>
      </c>
      <c r="C561" s="50" t="inlineStr">
        <is>
          <t>2026-06-26</t>
        </is>
      </c>
      <c r="D561" s="47" t="inlineStr">
        <is>
          <t>Hastane (Kurumsal)</t>
        </is>
      </c>
      <c r="E561" s="47" t="inlineStr">
        <is>
          <t>Lead Toplama (Form)</t>
        </is>
      </c>
      <c r="F561" s="47" t="inlineStr">
        <is>
          <t>Lead - Estetik/Plastik/Saç</t>
        </is>
      </c>
      <c r="G561" s="84" t="n">
        <v>301.85</v>
      </c>
      <c r="H561" s="47" t="inlineStr"/>
      <c r="I561" s="50" t="n">
        <v>0</v>
      </c>
      <c r="J561" s="50" t="n">
        <v>3560</v>
      </c>
      <c r="K561" s="50" t="n">
        <v>4174</v>
      </c>
    </row>
    <row r="562">
      <c r="A562" s="43" t="inlineStr">
        <is>
          <t>Doruk Hastaneleri</t>
        </is>
      </c>
      <c r="B562" s="43" t="inlineStr">
        <is>
          <t>ABO / Yüz Germe (Facelift) / plastik cerrahi / lead</t>
        </is>
      </c>
      <c r="C562" s="46" t="inlineStr">
        <is>
          <t>2026-07-02</t>
        </is>
      </c>
      <c r="D562" s="43" t="inlineStr">
        <is>
          <t>Hastane (Kurumsal)</t>
        </is>
      </c>
      <c r="E562" s="43" t="inlineStr">
        <is>
          <t>Lead Toplama (Form)</t>
        </is>
      </c>
      <c r="F562" s="43" t="inlineStr">
        <is>
          <t>Lead - Estetik/Plastik/Saç</t>
        </is>
      </c>
      <c r="G562" s="83" t="n">
        <v>301.07</v>
      </c>
      <c r="H562" s="43" t="inlineStr">
        <is>
          <t>Potansiyel müşteriler (form)</t>
        </is>
      </c>
      <c r="I562" s="46" t="n">
        <v>2</v>
      </c>
      <c r="J562" s="46" t="n">
        <v>664</v>
      </c>
      <c r="K562" s="46" t="n">
        <v>948</v>
      </c>
    </row>
    <row r="563">
      <c r="A563" s="47" t="inlineStr">
        <is>
          <t>Doruk Hastaneleri</t>
        </is>
      </c>
      <c r="B563" s="47" t="inlineStr">
        <is>
          <t>ABO /Jinekomasti / plastik cerrahi / lead</t>
        </is>
      </c>
      <c r="C563" s="50" t="inlineStr">
        <is>
          <t>2026-06-23</t>
        </is>
      </c>
      <c r="D563" s="47" t="inlineStr">
        <is>
          <t>Hastane (Kurumsal)</t>
        </is>
      </c>
      <c r="E563" s="47" t="inlineStr">
        <is>
          <t>Lead Toplama (Form)</t>
        </is>
      </c>
      <c r="F563" s="47" t="inlineStr">
        <is>
          <t>Lead - Estetik/Plastik/Saç</t>
        </is>
      </c>
      <c r="G563" s="84" t="n">
        <v>299.69</v>
      </c>
      <c r="H563" s="47" t="inlineStr">
        <is>
          <t>Potansiyel müşteriler (form)</t>
        </is>
      </c>
      <c r="I563" s="50" t="n">
        <v>1</v>
      </c>
      <c r="J563" s="50" t="n">
        <v>3289</v>
      </c>
      <c r="K563" s="50" t="n">
        <v>3969</v>
      </c>
    </row>
    <row r="564">
      <c r="A564" s="43" t="inlineStr">
        <is>
          <t>Doruk Hastaneleri</t>
        </is>
      </c>
      <c r="B564" s="43" t="inlineStr">
        <is>
          <t>ABO / Vücut Şekillendirme / plastik cerrahi / lead</t>
        </is>
      </c>
      <c r="C564" s="46" t="inlineStr">
        <is>
          <t>2026-07-15</t>
        </is>
      </c>
      <c r="D564" s="43" t="inlineStr">
        <is>
          <t>Hastane (Kurumsal)</t>
        </is>
      </c>
      <c r="E564" s="43" t="inlineStr">
        <is>
          <t>Lead Toplama (Form)</t>
        </is>
      </c>
      <c r="F564" s="43" t="inlineStr">
        <is>
          <t>Lead - Estetik/Plastik/Saç</t>
        </is>
      </c>
      <c r="G564" s="83" t="n">
        <v>297.15</v>
      </c>
      <c r="H564" s="43" t="inlineStr"/>
      <c r="I564" s="46" t="n">
        <v>0</v>
      </c>
      <c r="J564" s="46" t="n">
        <v>1288</v>
      </c>
      <c r="K564" s="46" t="n">
        <v>1735</v>
      </c>
    </row>
    <row r="565">
      <c r="A565" s="47" t="inlineStr">
        <is>
          <t>Doruk Hastaneleri</t>
        </is>
      </c>
      <c r="B565" s="47" t="inlineStr">
        <is>
          <t>ABO / Göz Kapağı Estetiği / plastik cerrahi / lead</t>
        </is>
      </c>
      <c r="C565" s="50" t="inlineStr">
        <is>
          <t>2026-07-15</t>
        </is>
      </c>
      <c r="D565" s="47" t="inlineStr">
        <is>
          <t>Hastane (Kurumsal)</t>
        </is>
      </c>
      <c r="E565" s="47" t="inlineStr">
        <is>
          <t>Lead Toplama (Form)</t>
        </is>
      </c>
      <c r="F565" s="47" t="inlineStr">
        <is>
          <t>Lead - Estetik/Plastik/Saç</t>
        </is>
      </c>
      <c r="G565" s="84" t="n">
        <v>295.21</v>
      </c>
      <c r="H565" s="47" t="inlineStr">
        <is>
          <t>Potansiyel müşteriler (form)</t>
        </is>
      </c>
      <c r="I565" s="50" t="n">
        <v>1</v>
      </c>
      <c r="J565" s="50" t="n">
        <v>3386</v>
      </c>
      <c r="K565" s="50" t="n">
        <v>4275</v>
      </c>
    </row>
    <row r="566">
      <c r="A566" s="43" t="inlineStr">
        <is>
          <t>Doruk Hastaneleri</t>
        </is>
      </c>
      <c r="B566" s="43" t="inlineStr">
        <is>
          <t>ABO / Göz Kapağı Estetiği / plastik cerrahi / lead</t>
        </is>
      </c>
      <c r="C566" s="46" t="inlineStr">
        <is>
          <t>2026-07-20</t>
        </is>
      </c>
      <c r="D566" s="43" t="inlineStr">
        <is>
          <t>Hastane (Kurumsal)</t>
        </is>
      </c>
      <c r="E566" s="43" t="inlineStr">
        <is>
          <t>Lead Toplama (Form)</t>
        </is>
      </c>
      <c r="F566" s="43" t="inlineStr">
        <is>
          <t>Lead - Estetik/Plastik/Saç</t>
        </is>
      </c>
      <c r="G566" s="83" t="n">
        <v>293.39</v>
      </c>
      <c r="H566" s="43" t="inlineStr">
        <is>
          <t>Potansiyel müşteriler (form)</t>
        </is>
      </c>
      <c r="I566" s="46" t="n">
        <v>2</v>
      </c>
      <c r="J566" s="46" t="n">
        <v>2768</v>
      </c>
      <c r="K566" s="46" t="n">
        <v>3479</v>
      </c>
    </row>
    <row r="567">
      <c r="A567" s="47" t="inlineStr">
        <is>
          <t>Doruk Hastaneleri</t>
        </is>
      </c>
      <c r="B567" s="47" t="inlineStr">
        <is>
          <t>ABO /Jinekomasti / plastik cerrahi / lead</t>
        </is>
      </c>
      <c r="C567" s="50" t="inlineStr">
        <is>
          <t>2026-07-20</t>
        </is>
      </c>
      <c r="D567" s="47" t="inlineStr">
        <is>
          <t>Hastane (Kurumsal)</t>
        </is>
      </c>
      <c r="E567" s="47" t="inlineStr">
        <is>
          <t>Lead Toplama (Form)</t>
        </is>
      </c>
      <c r="F567" s="47" t="inlineStr">
        <is>
          <t>Lead - Estetik/Plastik/Saç</t>
        </is>
      </c>
      <c r="G567" s="84" t="n">
        <v>290.65</v>
      </c>
      <c r="H567" s="47" t="inlineStr">
        <is>
          <t>Potansiyel müşteriler (form)</t>
        </is>
      </c>
      <c r="I567" s="50" t="n">
        <v>2</v>
      </c>
      <c r="J567" s="50" t="n">
        <v>2408</v>
      </c>
      <c r="K567" s="50" t="n">
        <v>3045</v>
      </c>
    </row>
    <row r="568">
      <c r="A568" s="43" t="inlineStr">
        <is>
          <t>Doruk Hastaneleri</t>
        </is>
      </c>
      <c r="B568" s="43" t="inlineStr">
        <is>
          <t>ABO /Kepçe Kulak / plastik cerrahi / lead</t>
        </is>
      </c>
      <c r="C568" s="46" t="inlineStr">
        <is>
          <t>2026-07-02</t>
        </is>
      </c>
      <c r="D568" s="43" t="inlineStr">
        <is>
          <t>Hastane (Kurumsal)</t>
        </is>
      </c>
      <c r="E568" s="43" t="inlineStr">
        <is>
          <t>Lead Toplama (Form)</t>
        </is>
      </c>
      <c r="F568" s="43" t="inlineStr">
        <is>
          <t>Lead - Estetik/Plastik/Saç</t>
        </is>
      </c>
      <c r="G568" s="83" t="n">
        <v>288.46</v>
      </c>
      <c r="H568" s="43" t="inlineStr"/>
      <c r="I568" s="46" t="n">
        <v>0</v>
      </c>
      <c r="J568" s="46" t="n">
        <v>5651</v>
      </c>
      <c r="K568" s="46" t="n">
        <v>6487</v>
      </c>
    </row>
    <row r="569">
      <c r="A569" s="47" t="inlineStr">
        <is>
          <t>Doruk Hastaneleri</t>
        </is>
      </c>
      <c r="B569" s="47" t="inlineStr">
        <is>
          <t>Baş Dönmesi ve Denge Ünitesi / lead</t>
        </is>
      </c>
      <c r="C569" s="50" t="inlineStr">
        <is>
          <t>2026-06-29</t>
        </is>
      </c>
      <c r="D569" s="47" t="inlineStr">
        <is>
          <t>Hastane (Kurumsal)</t>
        </is>
      </c>
      <c r="E569" s="47" t="inlineStr">
        <is>
          <t>Lead Toplama (Form)</t>
        </is>
      </c>
      <c r="F569" s="47" t="inlineStr">
        <is>
          <t>Lead - Check-up/Tarama</t>
        </is>
      </c>
      <c r="G569" s="84" t="n">
        <v>287.66</v>
      </c>
      <c r="H569" s="47" t="inlineStr">
        <is>
          <t>Potansiyel müşteriler (form)</t>
        </is>
      </c>
      <c r="I569" s="50" t="n">
        <v>5</v>
      </c>
      <c r="J569" s="50" t="n">
        <v>4434</v>
      </c>
      <c r="K569" s="50" t="n">
        <v>5270</v>
      </c>
    </row>
    <row r="570">
      <c r="A570" s="43" t="inlineStr">
        <is>
          <t>Doruk Hastaneleri</t>
        </is>
      </c>
      <c r="B570" s="43" t="inlineStr">
        <is>
          <t>ABO / Göz Kapağı Estetiği / plastik cerrahi / lead</t>
        </is>
      </c>
      <c r="C570" s="46" t="inlineStr">
        <is>
          <t>2026-07-13</t>
        </is>
      </c>
      <c r="D570" s="43" t="inlineStr">
        <is>
          <t>Hastane (Kurumsal)</t>
        </is>
      </c>
      <c r="E570" s="43" t="inlineStr">
        <is>
          <t>Lead Toplama (Form)</t>
        </is>
      </c>
      <c r="F570" s="43" t="inlineStr">
        <is>
          <t>Lead - Estetik/Plastik/Saç</t>
        </is>
      </c>
      <c r="G570" s="83" t="n">
        <v>285.43</v>
      </c>
      <c r="H570" s="43" t="inlineStr"/>
      <c r="I570" s="46" t="n">
        <v>0</v>
      </c>
      <c r="J570" s="46" t="n">
        <v>2267</v>
      </c>
      <c r="K570" s="46" t="n">
        <v>2947</v>
      </c>
    </row>
    <row r="571">
      <c r="A571" s="47" t="inlineStr">
        <is>
          <t>Doruk Hastaneleri</t>
        </is>
      </c>
      <c r="B571" s="47" t="inlineStr">
        <is>
          <t>ABO /Kepçe Kulak / plastik cerrahi / lead</t>
        </is>
      </c>
      <c r="C571" s="50" t="inlineStr">
        <is>
          <t>2026-06-23</t>
        </is>
      </c>
      <c r="D571" s="47" t="inlineStr">
        <is>
          <t>Hastane (Kurumsal)</t>
        </is>
      </c>
      <c r="E571" s="47" t="inlineStr">
        <is>
          <t>Lead Toplama (Form)</t>
        </is>
      </c>
      <c r="F571" s="47" t="inlineStr">
        <is>
          <t>Lead - Estetik/Plastik/Saç</t>
        </is>
      </c>
      <c r="G571" s="84" t="n">
        <v>284.01</v>
      </c>
      <c r="H571" s="47" t="inlineStr"/>
      <c r="I571" s="50" t="n">
        <v>0</v>
      </c>
      <c r="J571" s="50" t="n">
        <v>1882</v>
      </c>
      <c r="K571" s="50" t="n">
        <v>2382</v>
      </c>
    </row>
    <row r="572">
      <c r="A572" s="43" t="inlineStr">
        <is>
          <t>Doruk Hastaneleri</t>
        </is>
      </c>
      <c r="B572" s="43" t="inlineStr">
        <is>
          <t>ABO /Kepçe Kulak / plastik cerrahi / lead</t>
        </is>
      </c>
      <c r="C572" s="46" t="inlineStr">
        <is>
          <t>2026-07-15</t>
        </is>
      </c>
      <c r="D572" s="43" t="inlineStr">
        <is>
          <t>Hastane (Kurumsal)</t>
        </is>
      </c>
      <c r="E572" s="43" t="inlineStr">
        <is>
          <t>Lead Toplama (Form)</t>
        </is>
      </c>
      <c r="F572" s="43" t="inlineStr">
        <is>
          <t>Lead - Estetik/Plastik/Saç</t>
        </is>
      </c>
      <c r="G572" s="83" t="n">
        <v>281.86</v>
      </c>
      <c r="H572" s="43" t="inlineStr"/>
      <c r="I572" s="46" t="n">
        <v>0</v>
      </c>
      <c r="J572" s="46" t="n">
        <v>7936</v>
      </c>
      <c r="K572" s="46" t="n">
        <v>8859</v>
      </c>
    </row>
    <row r="573">
      <c r="A573" s="47" t="inlineStr">
        <is>
          <t>Doruk Hastaneleri</t>
        </is>
      </c>
      <c r="B573" s="47" t="inlineStr">
        <is>
          <t>CBO / Saç Ekimi - lead / soğuk</t>
        </is>
      </c>
      <c r="C573" s="50" t="inlineStr">
        <is>
          <t>2026-07-21</t>
        </is>
      </c>
      <c r="D573" s="47" t="inlineStr">
        <is>
          <t>Hastane (Kurumsal)</t>
        </is>
      </c>
      <c r="E573" s="47" t="inlineStr">
        <is>
          <t>Lead Toplama (Form)</t>
        </is>
      </c>
      <c r="F573" s="47" t="inlineStr">
        <is>
          <t>Lead - Estetik/Plastik/Saç</t>
        </is>
      </c>
      <c r="G573" s="84" t="n">
        <v>280.99</v>
      </c>
      <c r="H573" s="47" t="inlineStr">
        <is>
          <t>Potansiyel müşteriler (form)</t>
        </is>
      </c>
      <c r="I573" s="50" t="n">
        <v>1</v>
      </c>
      <c r="J573" s="50" t="n">
        <v>1202</v>
      </c>
      <c r="K573" s="50" t="n">
        <v>1601</v>
      </c>
    </row>
    <row r="574">
      <c r="A574" s="43" t="inlineStr">
        <is>
          <t>Doruk Hastaneleri</t>
        </is>
      </c>
      <c r="B574" s="43" t="inlineStr">
        <is>
          <t>ABO /Kepçe Kulak / plastik cerrahi / lead</t>
        </is>
      </c>
      <c r="C574" s="46" t="inlineStr">
        <is>
          <t>2026-07-04</t>
        </is>
      </c>
      <c r="D574" s="43" t="inlineStr">
        <is>
          <t>Hastane (Kurumsal)</t>
        </is>
      </c>
      <c r="E574" s="43" t="inlineStr">
        <is>
          <t>Lead Toplama (Form)</t>
        </is>
      </c>
      <c r="F574" s="43" t="inlineStr">
        <is>
          <t>Lead - Estetik/Plastik/Saç</t>
        </is>
      </c>
      <c r="G574" s="83" t="n">
        <v>279.04</v>
      </c>
      <c r="H574" s="43" t="inlineStr">
        <is>
          <t>Potansiyel müşteriler (form)</t>
        </is>
      </c>
      <c r="I574" s="46" t="n">
        <v>1</v>
      </c>
      <c r="J574" s="46" t="n">
        <v>6830</v>
      </c>
      <c r="K574" s="46" t="n">
        <v>7684</v>
      </c>
    </row>
    <row r="575">
      <c r="A575" s="47" t="inlineStr">
        <is>
          <t>Doruk Hastaneleri</t>
        </is>
      </c>
      <c r="B575" s="47" t="inlineStr">
        <is>
          <t>ABO /Kepçe Kulak / plastik cerrahi / lead</t>
        </is>
      </c>
      <c r="C575" s="50" t="inlineStr">
        <is>
          <t>2026-07-20</t>
        </is>
      </c>
      <c r="D575" s="47" t="inlineStr">
        <is>
          <t>Hastane (Kurumsal)</t>
        </is>
      </c>
      <c r="E575" s="47" t="inlineStr">
        <is>
          <t>Lead Toplama (Form)</t>
        </is>
      </c>
      <c r="F575" s="47" t="inlineStr">
        <is>
          <t>Lead - Estetik/Plastik/Saç</t>
        </is>
      </c>
      <c r="G575" s="84" t="n">
        <v>277.14</v>
      </c>
      <c r="H575" s="47" t="inlineStr"/>
      <c r="I575" s="50" t="n">
        <v>0</v>
      </c>
      <c r="J575" s="50" t="n">
        <v>6985</v>
      </c>
      <c r="K575" s="50" t="n">
        <v>7631</v>
      </c>
    </row>
    <row r="576">
      <c r="A576" s="43" t="inlineStr">
        <is>
          <t>Doruk Hastaneleri</t>
        </is>
      </c>
      <c r="B576" s="43" t="inlineStr">
        <is>
          <t>ABO /Jinekomasti / plastik cerrahi / lead</t>
        </is>
      </c>
      <c r="C576" s="46" t="inlineStr">
        <is>
          <t>2026-07-03</t>
        </is>
      </c>
      <c r="D576" s="43" t="inlineStr">
        <is>
          <t>Hastane (Kurumsal)</t>
        </is>
      </c>
      <c r="E576" s="43" t="inlineStr">
        <is>
          <t>Lead Toplama (Form)</t>
        </is>
      </c>
      <c r="F576" s="43" t="inlineStr">
        <is>
          <t>Lead - Estetik/Plastik/Saç</t>
        </is>
      </c>
      <c r="G576" s="83" t="n">
        <v>277.12</v>
      </c>
      <c r="H576" s="43" t="inlineStr">
        <is>
          <t>Potansiyel müşteriler (form)</t>
        </is>
      </c>
      <c r="I576" s="46" t="n">
        <v>1</v>
      </c>
      <c r="J576" s="46" t="n">
        <v>2147</v>
      </c>
      <c r="K576" s="46" t="n">
        <v>2910</v>
      </c>
    </row>
    <row r="577">
      <c r="A577" s="47" t="inlineStr">
        <is>
          <t>Doruk Hastaneleri</t>
        </is>
      </c>
      <c r="B577" s="47" t="inlineStr">
        <is>
          <t>ABO / Vücut Şekillendirme / plastik cerrahi / lead</t>
        </is>
      </c>
      <c r="C577" s="50" t="inlineStr">
        <is>
          <t>2026-07-03</t>
        </is>
      </c>
      <c r="D577" s="47" t="inlineStr">
        <is>
          <t>Hastane (Kurumsal)</t>
        </is>
      </c>
      <c r="E577" s="47" t="inlineStr">
        <is>
          <t>Lead Toplama (Form)</t>
        </is>
      </c>
      <c r="F577" s="47" t="inlineStr">
        <is>
          <t>Lead - Estetik/Plastik/Saç</t>
        </is>
      </c>
      <c r="G577" s="84" t="n">
        <v>276.86</v>
      </c>
      <c r="H577" s="47" t="inlineStr"/>
      <c r="I577" s="50" t="n">
        <v>0</v>
      </c>
      <c r="J577" s="50" t="n">
        <v>640</v>
      </c>
      <c r="K577" s="50" t="n">
        <v>966</v>
      </c>
    </row>
    <row r="578">
      <c r="A578" s="43" t="inlineStr">
        <is>
          <t>Doruk Hastaneleri</t>
        </is>
      </c>
      <c r="B578" s="43" t="inlineStr">
        <is>
          <t>ABO / Yüz Germe (Facelift) / plastik cerrahi / lead</t>
        </is>
      </c>
      <c r="C578" s="46" t="inlineStr">
        <is>
          <t>2026-07-15</t>
        </is>
      </c>
      <c r="D578" s="43" t="inlineStr">
        <is>
          <t>Hastane (Kurumsal)</t>
        </is>
      </c>
      <c r="E578" s="43" t="inlineStr">
        <is>
          <t>Lead Toplama (Form)</t>
        </is>
      </c>
      <c r="F578" s="43" t="inlineStr">
        <is>
          <t>Lead - Estetik/Plastik/Saç</t>
        </is>
      </c>
      <c r="G578" s="83" t="n">
        <v>276.33</v>
      </c>
      <c r="H578" s="43" t="inlineStr">
        <is>
          <t>Potansiyel müşteriler (form)</t>
        </is>
      </c>
      <c r="I578" s="46" t="n">
        <v>1</v>
      </c>
      <c r="J578" s="46" t="n">
        <v>696</v>
      </c>
      <c r="K578" s="46" t="n">
        <v>946</v>
      </c>
    </row>
    <row r="579">
      <c r="A579" s="47" t="inlineStr">
        <is>
          <t>Doruk Hastaneleri</t>
        </is>
      </c>
      <c r="B579" s="47" t="inlineStr">
        <is>
          <t>ABO /Jinekomasti / plastik cerrahi / lead</t>
        </is>
      </c>
      <c r="C579" s="50" t="inlineStr">
        <is>
          <t>2026-06-30</t>
        </is>
      </c>
      <c r="D579" s="47" t="inlineStr">
        <is>
          <t>Hastane (Kurumsal)</t>
        </is>
      </c>
      <c r="E579" s="47" t="inlineStr">
        <is>
          <t>Lead Toplama (Form)</t>
        </is>
      </c>
      <c r="F579" s="47" t="inlineStr">
        <is>
          <t>Lead - Estetik/Plastik/Saç</t>
        </is>
      </c>
      <c r="G579" s="84" t="n">
        <v>274.33</v>
      </c>
      <c r="H579" s="47" t="inlineStr">
        <is>
          <t>Potansiyel müşteriler (form)</t>
        </is>
      </c>
      <c r="I579" s="50" t="n">
        <v>1</v>
      </c>
      <c r="J579" s="50" t="n">
        <v>2570</v>
      </c>
      <c r="K579" s="50" t="n">
        <v>3378</v>
      </c>
    </row>
    <row r="580">
      <c r="A580" s="43" t="inlineStr">
        <is>
          <t>Doruk Hastaneleri</t>
        </is>
      </c>
      <c r="B580" s="43" t="inlineStr">
        <is>
          <t>ABO / Vücut Şekillendirme / plastik cerrahi / lead</t>
        </is>
      </c>
      <c r="C580" s="46" t="inlineStr">
        <is>
          <t>2026-06-30</t>
        </is>
      </c>
      <c r="D580" s="43" t="inlineStr">
        <is>
          <t>Hastane (Kurumsal)</t>
        </is>
      </c>
      <c r="E580" s="43" t="inlineStr">
        <is>
          <t>Lead Toplama (Form)</t>
        </is>
      </c>
      <c r="F580" s="43" t="inlineStr">
        <is>
          <t>Lead - Estetik/Plastik/Saç</t>
        </is>
      </c>
      <c r="G580" s="83" t="n">
        <v>271.95</v>
      </c>
      <c r="H580" s="43" t="inlineStr"/>
      <c r="I580" s="46" t="n">
        <v>0</v>
      </c>
      <c r="J580" s="46" t="n">
        <v>744</v>
      </c>
      <c r="K580" s="46" t="n">
        <v>1045</v>
      </c>
    </row>
    <row r="581">
      <c r="A581" s="47" t="inlineStr">
        <is>
          <t>Doruk Hastaneleri</t>
        </is>
      </c>
      <c r="B581" s="47" t="inlineStr">
        <is>
          <t>ABO / Yüz Germe (Facelift) / plastik cerrahi / lead</t>
        </is>
      </c>
      <c r="C581" s="50" t="inlineStr">
        <is>
          <t>2026-07-20</t>
        </is>
      </c>
      <c r="D581" s="47" t="inlineStr">
        <is>
          <t>Hastane (Kurumsal)</t>
        </is>
      </c>
      <c r="E581" s="47" t="inlineStr">
        <is>
          <t>Lead Toplama (Form)</t>
        </is>
      </c>
      <c r="F581" s="47" t="inlineStr">
        <is>
          <t>Lead - Estetik/Plastik/Saç</t>
        </is>
      </c>
      <c r="G581" s="84" t="n">
        <v>270.4</v>
      </c>
      <c r="H581" s="47" t="inlineStr"/>
      <c r="I581" s="50" t="n">
        <v>0</v>
      </c>
      <c r="J581" s="50" t="n">
        <v>624</v>
      </c>
      <c r="K581" s="50" t="n">
        <v>912</v>
      </c>
    </row>
    <row r="582">
      <c r="A582" s="43" t="inlineStr">
        <is>
          <t>Doruk Hastaneleri</t>
        </is>
      </c>
      <c r="B582" s="43" t="inlineStr">
        <is>
          <t>CBO / Saç Ekimi - lead / soğuk</t>
        </is>
      </c>
      <c r="C582" s="46" t="inlineStr">
        <is>
          <t>2026-07-14</t>
        </is>
      </c>
      <c r="D582" s="43" t="inlineStr">
        <is>
          <t>Hastane (Kurumsal)</t>
        </is>
      </c>
      <c r="E582" s="43" t="inlineStr">
        <is>
          <t>Lead Toplama (Form)</t>
        </is>
      </c>
      <c r="F582" s="43" t="inlineStr">
        <is>
          <t>Lead - Estetik/Plastik/Saç</t>
        </is>
      </c>
      <c r="G582" s="83" t="n">
        <v>270.32</v>
      </c>
      <c r="H582" s="43" t="inlineStr">
        <is>
          <t>Potansiyel müşteriler (form)</t>
        </is>
      </c>
      <c r="I582" s="46" t="n">
        <v>1</v>
      </c>
      <c r="J582" s="46" t="n">
        <v>1591</v>
      </c>
      <c r="K582" s="46" t="n">
        <v>2108</v>
      </c>
    </row>
    <row r="583">
      <c r="A583" s="47" t="inlineStr">
        <is>
          <t>Doruk Hastaneleri</t>
        </is>
      </c>
      <c r="B583" s="47" t="inlineStr">
        <is>
          <t>ABO / Yüz Germe (Facelift) / plastik cerrahi / lead</t>
        </is>
      </c>
      <c r="C583" s="50" t="inlineStr">
        <is>
          <t>2026-06-30</t>
        </is>
      </c>
      <c r="D583" s="47" t="inlineStr">
        <is>
          <t>Hastane (Kurumsal)</t>
        </is>
      </c>
      <c r="E583" s="47" t="inlineStr">
        <is>
          <t>Lead Toplama (Form)</t>
        </is>
      </c>
      <c r="F583" s="47" t="inlineStr">
        <is>
          <t>Lead - Estetik/Plastik/Saç</t>
        </is>
      </c>
      <c r="G583" s="84" t="n">
        <v>269.14</v>
      </c>
      <c r="H583" s="47" t="inlineStr">
        <is>
          <t>Potansiyel müşteriler (form)</t>
        </is>
      </c>
      <c r="I583" s="50" t="n">
        <v>1</v>
      </c>
      <c r="J583" s="50" t="n">
        <v>700</v>
      </c>
      <c r="K583" s="50" t="n">
        <v>960</v>
      </c>
    </row>
    <row r="584">
      <c r="A584" s="43" t="inlineStr">
        <is>
          <t>Doruk Hastaneleri</t>
        </is>
      </c>
      <c r="B584" s="43" t="inlineStr">
        <is>
          <t>ABO /Kepçe Kulak / plastik cerrahi / lead</t>
        </is>
      </c>
      <c r="C584" s="46" t="inlineStr">
        <is>
          <t>2026-07-03</t>
        </is>
      </c>
      <c r="D584" s="43" t="inlineStr">
        <is>
          <t>Hastane (Kurumsal)</t>
        </is>
      </c>
      <c r="E584" s="43" t="inlineStr">
        <is>
          <t>Lead Toplama (Form)</t>
        </is>
      </c>
      <c r="F584" s="43" t="inlineStr">
        <is>
          <t>Lead - Estetik/Plastik/Saç</t>
        </is>
      </c>
      <c r="G584" s="83" t="n">
        <v>267.77</v>
      </c>
      <c r="H584" s="43" t="inlineStr"/>
      <c r="I584" s="46" t="n">
        <v>0</v>
      </c>
      <c r="J584" s="46" t="n">
        <v>5853</v>
      </c>
      <c r="K584" s="46" t="n">
        <v>6802</v>
      </c>
    </row>
    <row r="585">
      <c r="A585" s="47" t="inlineStr">
        <is>
          <t>Doruk Hastaneleri</t>
        </is>
      </c>
      <c r="B585" s="47" t="inlineStr">
        <is>
          <t>ABO / Yüz Germe (Facelift) / plastik cerrahi / lead</t>
        </is>
      </c>
      <c r="C585" s="50" t="inlineStr">
        <is>
          <t>2026-07-03</t>
        </is>
      </c>
      <c r="D585" s="47" t="inlineStr">
        <is>
          <t>Hastane (Kurumsal)</t>
        </is>
      </c>
      <c r="E585" s="47" t="inlineStr">
        <is>
          <t>Lead Toplama (Form)</t>
        </is>
      </c>
      <c r="F585" s="47" t="inlineStr">
        <is>
          <t>Lead - Estetik/Plastik/Saç</t>
        </is>
      </c>
      <c r="G585" s="84" t="n">
        <v>267.68</v>
      </c>
      <c r="H585" s="47" t="inlineStr"/>
      <c r="I585" s="50" t="n">
        <v>0</v>
      </c>
      <c r="J585" s="50" t="n">
        <v>709</v>
      </c>
      <c r="K585" s="50" t="n">
        <v>946</v>
      </c>
    </row>
    <row r="586">
      <c r="A586" s="43" t="inlineStr">
        <is>
          <t>Doruk Hastaneleri</t>
        </is>
      </c>
      <c r="B586" s="43" t="inlineStr">
        <is>
          <t>ABO /Jinekomasti / plastik cerrahi / lead</t>
        </is>
      </c>
      <c r="C586" s="46" t="inlineStr">
        <is>
          <t>2026-06-29</t>
        </is>
      </c>
      <c r="D586" s="43" t="inlineStr">
        <is>
          <t>Hastane (Kurumsal)</t>
        </is>
      </c>
      <c r="E586" s="43" t="inlineStr">
        <is>
          <t>Lead Toplama (Form)</t>
        </is>
      </c>
      <c r="F586" s="43" t="inlineStr">
        <is>
          <t>Lead - Estetik/Plastik/Saç</t>
        </is>
      </c>
      <c r="G586" s="83" t="n">
        <v>265.35</v>
      </c>
      <c r="H586" s="43" t="inlineStr"/>
      <c r="I586" s="46" t="n">
        <v>0</v>
      </c>
      <c r="J586" s="46" t="n">
        <v>2437</v>
      </c>
      <c r="K586" s="46" t="n">
        <v>3182</v>
      </c>
    </row>
    <row r="587">
      <c r="A587" s="47" t="inlineStr">
        <is>
          <t>Doruk Hastaneleri</t>
        </is>
      </c>
      <c r="B587" s="47" t="inlineStr">
        <is>
          <t>ABO / Yüz Germe (Facelift) / plastik cerrahi / lead</t>
        </is>
      </c>
      <c r="C587" s="50" t="inlineStr">
        <is>
          <t>2026-06-29</t>
        </is>
      </c>
      <c r="D587" s="47" t="inlineStr">
        <is>
          <t>Hastane (Kurumsal)</t>
        </is>
      </c>
      <c r="E587" s="47" t="inlineStr">
        <is>
          <t>Lead Toplama (Form)</t>
        </is>
      </c>
      <c r="F587" s="47" t="inlineStr">
        <is>
          <t>Lead - Estetik/Plastik/Saç</t>
        </is>
      </c>
      <c r="G587" s="84" t="n">
        <v>263.87</v>
      </c>
      <c r="H587" s="47" t="inlineStr">
        <is>
          <t>Potansiyel müşteriler (form)</t>
        </is>
      </c>
      <c r="I587" s="50" t="n">
        <v>1</v>
      </c>
      <c r="J587" s="50" t="n">
        <v>806</v>
      </c>
      <c r="K587" s="50" t="n">
        <v>1120</v>
      </c>
    </row>
    <row r="588">
      <c r="A588" s="43" t="inlineStr">
        <is>
          <t>Doruk Hastaneleri</t>
        </is>
      </c>
      <c r="B588" s="43" t="inlineStr">
        <is>
          <t>ABO /Jinekomasti / plastik cerrahi / lead</t>
        </is>
      </c>
      <c r="C588" s="46" t="inlineStr">
        <is>
          <t>2026-07-15</t>
        </is>
      </c>
      <c r="D588" s="43" t="inlineStr">
        <is>
          <t>Hastane (Kurumsal)</t>
        </is>
      </c>
      <c r="E588" s="43" t="inlineStr">
        <is>
          <t>Lead Toplama (Form)</t>
        </is>
      </c>
      <c r="F588" s="43" t="inlineStr">
        <is>
          <t>Lead - Estetik/Plastik/Saç</t>
        </is>
      </c>
      <c r="G588" s="83" t="n">
        <v>262.35</v>
      </c>
      <c r="H588" s="43" t="inlineStr">
        <is>
          <t>Potansiyel müşteriler (form)</t>
        </is>
      </c>
      <c r="I588" s="46" t="n">
        <v>1</v>
      </c>
      <c r="J588" s="46" t="n">
        <v>2904</v>
      </c>
      <c r="K588" s="46" t="n">
        <v>3660</v>
      </c>
    </row>
    <row r="589">
      <c r="A589" s="47" t="inlineStr">
        <is>
          <t>Doruk Hastaneleri</t>
        </is>
      </c>
      <c r="B589" s="47" t="inlineStr">
        <is>
          <t>Baş Dönmesi ve Denge Ünitesi / lead</t>
        </is>
      </c>
      <c r="C589" s="50" t="inlineStr">
        <is>
          <t>2026-07-09</t>
        </is>
      </c>
      <c r="D589" s="47" t="inlineStr">
        <is>
          <t>Hastane (Kurumsal)</t>
        </is>
      </c>
      <c r="E589" s="47" t="inlineStr">
        <is>
          <t>Lead Toplama (Form)</t>
        </is>
      </c>
      <c r="F589" s="47" t="inlineStr">
        <is>
          <t>Lead - Check-up/Tarama</t>
        </is>
      </c>
      <c r="G589" s="84" t="n">
        <v>259.73</v>
      </c>
      <c r="H589" s="47" t="inlineStr"/>
      <c r="I589" s="50" t="n">
        <v>0</v>
      </c>
      <c r="J589" s="50" t="n">
        <v>4674</v>
      </c>
      <c r="K589" s="50" t="n">
        <v>5450</v>
      </c>
    </row>
    <row r="590">
      <c r="A590" s="43" t="inlineStr">
        <is>
          <t>Doruk Hastaneleri</t>
        </is>
      </c>
      <c r="B590" s="43" t="inlineStr">
        <is>
          <t>ABO / Vücut Şekillendirme / plastik cerrahi / lead</t>
        </is>
      </c>
      <c r="C590" s="46" t="inlineStr">
        <is>
          <t>2026-06-29</t>
        </is>
      </c>
      <c r="D590" s="43" t="inlineStr">
        <is>
          <t>Hastane (Kurumsal)</t>
        </is>
      </c>
      <c r="E590" s="43" t="inlineStr">
        <is>
          <t>Lead Toplama (Form)</t>
        </is>
      </c>
      <c r="F590" s="43" t="inlineStr">
        <is>
          <t>Lead - Estetik/Plastik/Saç</t>
        </is>
      </c>
      <c r="G590" s="83" t="n">
        <v>258.25</v>
      </c>
      <c r="H590" s="43" t="inlineStr">
        <is>
          <t>Potansiyel müşteriler (form)</t>
        </is>
      </c>
      <c r="I590" s="46" t="n">
        <v>1</v>
      </c>
      <c r="J590" s="46" t="n">
        <v>726</v>
      </c>
      <c r="K590" s="46" t="n">
        <v>1061</v>
      </c>
    </row>
    <row r="591">
      <c r="A591" s="47" t="inlineStr">
        <is>
          <t>Doruk Hastaneleri</t>
        </is>
      </c>
      <c r="B591" s="47" t="inlineStr">
        <is>
          <t>Hemşire İş Başvuru - lead</t>
        </is>
      </c>
      <c r="C591" s="50" t="inlineStr">
        <is>
          <t>2026-07-11</t>
        </is>
      </c>
      <c r="D591" s="47" t="inlineStr">
        <is>
          <t>Hastane (Kurumsal)</t>
        </is>
      </c>
      <c r="E591" s="47" t="inlineStr">
        <is>
          <t>Lead Toplama (Form)</t>
        </is>
      </c>
      <c r="F591" s="47" t="inlineStr">
        <is>
          <t>Lead - İK/İş Başvurusu</t>
        </is>
      </c>
      <c r="G591" s="84" t="n">
        <v>257.17</v>
      </c>
      <c r="H591" s="47" t="inlineStr"/>
      <c r="I591" s="50" t="n">
        <v>0</v>
      </c>
      <c r="J591" s="50" t="n">
        <v>3216</v>
      </c>
      <c r="K591" s="50" t="n">
        <v>3999</v>
      </c>
    </row>
    <row r="592">
      <c r="A592" s="43" t="inlineStr">
        <is>
          <t>Doruk Hastaneleri</t>
        </is>
      </c>
      <c r="B592" s="43" t="inlineStr">
        <is>
          <t>Baş Dönmesi ve Denge Ünitesi / lead</t>
        </is>
      </c>
      <c r="C592" s="46" t="inlineStr">
        <is>
          <t>2026-06-24</t>
        </is>
      </c>
      <c r="D592" s="43" t="inlineStr">
        <is>
          <t>Hastane (Kurumsal)</t>
        </is>
      </c>
      <c r="E592" s="43" t="inlineStr">
        <is>
          <t>Lead Toplama (Form)</t>
        </is>
      </c>
      <c r="F592" s="43" t="inlineStr">
        <is>
          <t>Lead - Check-up/Tarama</t>
        </is>
      </c>
      <c r="G592" s="83" t="n">
        <v>254.53</v>
      </c>
      <c r="H592" s="43" t="inlineStr">
        <is>
          <t>Potansiyel müşteriler (form)</t>
        </is>
      </c>
      <c r="I592" s="46" t="n">
        <v>2</v>
      </c>
      <c r="J592" s="46" t="n">
        <v>3975</v>
      </c>
      <c r="K592" s="46" t="n">
        <v>4562</v>
      </c>
    </row>
    <row r="593">
      <c r="A593" s="47" t="inlineStr">
        <is>
          <t>Doruk Hastaneleri</t>
        </is>
      </c>
      <c r="B593" s="47" t="inlineStr">
        <is>
          <t>Uzman Hekim Başvuru</t>
        </is>
      </c>
      <c r="C593" s="50" t="inlineStr">
        <is>
          <t>2026-07-11</t>
        </is>
      </c>
      <c r="D593" s="47" t="inlineStr">
        <is>
          <t>Hastane (Kurumsal)</t>
        </is>
      </c>
      <c r="E593" s="47" t="inlineStr">
        <is>
          <t>Lead Toplama (Form)</t>
        </is>
      </c>
      <c r="F593" s="47" t="inlineStr">
        <is>
          <t>Lead - İK/İş Başvurusu</t>
        </is>
      </c>
      <c r="G593" s="84" t="n">
        <v>252.02</v>
      </c>
      <c r="H593" s="47" t="inlineStr">
        <is>
          <t>Potansiyel müşteriler (form)</t>
        </is>
      </c>
      <c r="I593" s="50" t="n">
        <v>1</v>
      </c>
      <c r="J593" s="50" t="n">
        <v>1673</v>
      </c>
      <c r="K593" s="50" t="n">
        <v>1848</v>
      </c>
    </row>
    <row r="594">
      <c r="A594" s="43" t="inlineStr">
        <is>
          <t>Doruk Hastaneleri</t>
        </is>
      </c>
      <c r="B594" s="43" t="inlineStr">
        <is>
          <t>ABO / Meme Estetiği / plastik cerrahi / lead</t>
        </is>
      </c>
      <c r="C594" s="46" t="inlineStr">
        <is>
          <t>2026-07-11</t>
        </is>
      </c>
      <c r="D594" s="43" t="inlineStr">
        <is>
          <t>Hastane (Kurumsal)</t>
        </is>
      </c>
      <c r="E594" s="43" t="inlineStr">
        <is>
          <t>Lead Toplama (Form)</t>
        </is>
      </c>
      <c r="F594" s="43" t="inlineStr">
        <is>
          <t>Lead - Estetik/Plastik/Saç</t>
        </is>
      </c>
      <c r="G594" s="83" t="n">
        <v>250.4</v>
      </c>
      <c r="H594" s="43" t="inlineStr">
        <is>
          <t>Potansiyel müşteriler (form)</t>
        </is>
      </c>
      <c r="I594" s="46" t="n">
        <v>1</v>
      </c>
      <c r="J594" s="46" t="n">
        <v>1567</v>
      </c>
      <c r="K594" s="46" t="n">
        <v>1859</v>
      </c>
    </row>
    <row r="595">
      <c r="A595" s="47" t="inlineStr">
        <is>
          <t>Doruk Hastaneleri</t>
        </is>
      </c>
      <c r="B595" s="47" t="inlineStr">
        <is>
          <t>ABO / Vücut Şekillendirme / plastik cerrahi / lead</t>
        </is>
      </c>
      <c r="C595" s="50" t="inlineStr">
        <is>
          <t>2026-07-05</t>
        </is>
      </c>
      <c r="D595" s="47" t="inlineStr">
        <is>
          <t>Hastane (Kurumsal)</t>
        </is>
      </c>
      <c r="E595" s="47" t="inlineStr">
        <is>
          <t>Lead Toplama (Form)</t>
        </is>
      </c>
      <c r="F595" s="47" t="inlineStr">
        <is>
          <t>Lead - Estetik/Plastik/Saç</t>
        </is>
      </c>
      <c r="G595" s="84" t="n">
        <v>246.4</v>
      </c>
      <c r="H595" s="47" t="inlineStr">
        <is>
          <t>Potansiyel müşteriler (form)</t>
        </is>
      </c>
      <c r="I595" s="50" t="n">
        <v>1</v>
      </c>
      <c r="J595" s="50" t="n">
        <v>636</v>
      </c>
      <c r="K595" s="50" t="n">
        <v>906</v>
      </c>
    </row>
    <row r="596">
      <c r="A596" s="43" t="inlineStr">
        <is>
          <t>Doruk Hastaneleri</t>
        </is>
      </c>
      <c r="B596" s="43" t="inlineStr">
        <is>
          <t>ABO /Jinekomasti / plastik cerrahi / lead</t>
        </is>
      </c>
      <c r="C596" s="46" t="inlineStr">
        <is>
          <t>2026-07-17</t>
        </is>
      </c>
      <c r="D596" s="43" t="inlineStr">
        <is>
          <t>Hastane (Kurumsal)</t>
        </is>
      </c>
      <c r="E596" s="43" t="inlineStr">
        <is>
          <t>Lead Toplama (Form)</t>
        </is>
      </c>
      <c r="F596" s="43" t="inlineStr">
        <is>
          <t>Lead - Estetik/Plastik/Saç</t>
        </is>
      </c>
      <c r="G596" s="83" t="n">
        <v>246.1</v>
      </c>
      <c r="H596" s="43" t="inlineStr">
        <is>
          <t>Potansiyel müşteriler (form)</t>
        </is>
      </c>
      <c r="I596" s="46" t="n">
        <v>1</v>
      </c>
      <c r="J596" s="46" t="n">
        <v>1335</v>
      </c>
      <c r="K596" s="46" t="n">
        <v>1738</v>
      </c>
    </row>
    <row r="597">
      <c r="A597" s="47" t="inlineStr">
        <is>
          <t>Doruk Hastaneleri</t>
        </is>
      </c>
      <c r="B597" s="47" t="inlineStr">
        <is>
          <t>ABO / Yüz Germe (Facelift) / plastik cerrahi / lead</t>
        </is>
      </c>
      <c r="C597" s="50" t="inlineStr">
        <is>
          <t>2026-07-05</t>
        </is>
      </c>
      <c r="D597" s="47" t="inlineStr">
        <is>
          <t>Hastane (Kurumsal)</t>
        </is>
      </c>
      <c r="E597" s="47" t="inlineStr">
        <is>
          <t>Lead Toplama (Form)</t>
        </is>
      </c>
      <c r="F597" s="47" t="inlineStr">
        <is>
          <t>Lead - Estetik/Plastik/Saç</t>
        </is>
      </c>
      <c r="G597" s="84" t="n">
        <v>241.38</v>
      </c>
      <c r="H597" s="47" t="inlineStr"/>
      <c r="I597" s="50" t="n">
        <v>0</v>
      </c>
      <c r="J597" s="50" t="n">
        <v>543</v>
      </c>
      <c r="K597" s="50" t="n">
        <v>708</v>
      </c>
    </row>
    <row r="598">
      <c r="A598" s="43" t="inlineStr">
        <is>
          <t>Doruk Hastaneleri</t>
        </is>
      </c>
      <c r="B598" s="43" t="inlineStr">
        <is>
          <t>ABO / Yüz Germe (Facelift) / plastik cerrahi / lead</t>
        </is>
      </c>
      <c r="C598" s="46" t="inlineStr">
        <is>
          <t>2026-07-17</t>
        </is>
      </c>
      <c r="D598" s="43" t="inlineStr">
        <is>
          <t>Hastane (Kurumsal)</t>
        </is>
      </c>
      <c r="E598" s="43" t="inlineStr">
        <is>
          <t>Lead Toplama (Form)</t>
        </is>
      </c>
      <c r="F598" s="43" t="inlineStr">
        <is>
          <t>Lead - Estetik/Plastik/Saç</t>
        </is>
      </c>
      <c r="G598" s="83" t="n">
        <v>240.46</v>
      </c>
      <c r="H598" s="43" t="inlineStr"/>
      <c r="I598" s="46" t="n">
        <v>0</v>
      </c>
      <c r="J598" s="46" t="n">
        <v>474</v>
      </c>
      <c r="K598" s="46" t="n">
        <v>644</v>
      </c>
    </row>
    <row r="599">
      <c r="A599" s="47" t="inlineStr">
        <is>
          <t>Doruk Hastaneleri</t>
        </is>
      </c>
      <c r="B599" s="47" t="inlineStr">
        <is>
          <t>ABO / Göz Kapağı Estetiği / plastik cerrahi / lead</t>
        </is>
      </c>
      <c r="C599" s="50" t="inlineStr">
        <is>
          <t>2026-06-30</t>
        </is>
      </c>
      <c r="D599" s="47" t="inlineStr">
        <is>
          <t>Hastane (Kurumsal)</t>
        </is>
      </c>
      <c r="E599" s="47" t="inlineStr">
        <is>
          <t>Lead Toplama (Form)</t>
        </is>
      </c>
      <c r="F599" s="47" t="inlineStr">
        <is>
          <t>Lead - Estetik/Plastik/Saç</t>
        </is>
      </c>
      <c r="G599" s="84" t="n">
        <v>239.65</v>
      </c>
      <c r="H599" s="47" t="inlineStr">
        <is>
          <t>Potansiyel müşteriler (form)</t>
        </is>
      </c>
      <c r="I599" s="50" t="n">
        <v>4</v>
      </c>
      <c r="J599" s="50" t="n">
        <v>1695</v>
      </c>
      <c r="K599" s="50" t="n">
        <v>2289</v>
      </c>
    </row>
    <row r="600">
      <c r="A600" s="43" t="inlineStr">
        <is>
          <t>Doruk Hastaneleri</t>
        </is>
      </c>
      <c r="B600" s="43" t="inlineStr">
        <is>
          <t>Hemşire İş Başvuru - lead</t>
        </is>
      </c>
      <c r="C600" s="46" t="inlineStr">
        <is>
          <t>2026-07-21</t>
        </is>
      </c>
      <c r="D600" s="43" t="inlineStr">
        <is>
          <t>Hastane (Kurumsal)</t>
        </is>
      </c>
      <c r="E600" s="43" t="inlineStr">
        <is>
          <t>Lead Toplama (Form)</t>
        </is>
      </c>
      <c r="F600" s="43" t="inlineStr">
        <is>
          <t>Lead - İK/İş Başvurusu</t>
        </is>
      </c>
      <c r="G600" s="83" t="n">
        <v>239.24</v>
      </c>
      <c r="H600" s="43" t="inlineStr">
        <is>
          <t>Potansiyel müşteriler (form)</t>
        </is>
      </c>
      <c r="I600" s="46" t="n">
        <v>2</v>
      </c>
      <c r="J600" s="46" t="n">
        <v>4469</v>
      </c>
      <c r="K600" s="46" t="n">
        <v>5238</v>
      </c>
    </row>
    <row r="601">
      <c r="A601" s="47" t="inlineStr">
        <is>
          <t>Doruk Hastaneleri</t>
        </is>
      </c>
      <c r="B601" s="47" t="inlineStr">
        <is>
          <t>Baş Dönmesi ve Denge Ünitesi / lead</t>
        </is>
      </c>
      <c r="C601" s="50" t="inlineStr">
        <is>
          <t>2026-07-22</t>
        </is>
      </c>
      <c r="D601" s="47" t="inlineStr">
        <is>
          <t>Hastane (Kurumsal)</t>
        </is>
      </c>
      <c r="E601" s="47" t="inlineStr">
        <is>
          <t>Lead Toplama (Form)</t>
        </is>
      </c>
      <c r="F601" s="47" t="inlineStr">
        <is>
          <t>Lead - Check-up/Tarama</t>
        </is>
      </c>
      <c r="G601" s="84" t="n">
        <v>237.96</v>
      </c>
      <c r="H601" s="47" t="inlineStr">
        <is>
          <t>Potansiyel müşteriler (form)</t>
        </is>
      </c>
      <c r="I601" s="50" t="n">
        <v>1</v>
      </c>
      <c r="J601" s="50" t="n">
        <v>3173</v>
      </c>
      <c r="K601" s="50" t="n">
        <v>3572</v>
      </c>
    </row>
    <row r="602">
      <c r="A602" s="43" t="inlineStr">
        <is>
          <t>Doruk Hastaneleri</t>
        </is>
      </c>
      <c r="B602" s="43" t="inlineStr">
        <is>
          <t>ABO / Rinoplasti / plastik cerrahi / lead</t>
        </is>
      </c>
      <c r="C602" s="46" t="inlineStr">
        <is>
          <t>2026-07-21</t>
        </is>
      </c>
      <c r="D602" s="43" t="inlineStr">
        <is>
          <t>Hastane (Kurumsal)</t>
        </is>
      </c>
      <c r="E602" s="43" t="inlineStr">
        <is>
          <t>Lead Toplama (Form)</t>
        </is>
      </c>
      <c r="F602" s="43" t="inlineStr">
        <is>
          <t>Lead - Estetik/Plastik/Saç</t>
        </is>
      </c>
      <c r="G602" s="83" t="n">
        <v>236.68</v>
      </c>
      <c r="H602" s="43" t="inlineStr"/>
      <c r="I602" s="46" t="n">
        <v>0</v>
      </c>
      <c r="J602" s="46" t="n">
        <v>1061</v>
      </c>
      <c r="K602" s="46" t="n">
        <v>1309</v>
      </c>
    </row>
    <row r="603">
      <c r="A603" s="47" t="inlineStr">
        <is>
          <t>Doruk Hastaneleri</t>
        </is>
      </c>
      <c r="B603" s="47" t="inlineStr">
        <is>
          <t>ABO / Göz Kapağı Estetiği / plastik cerrahi / lead</t>
        </is>
      </c>
      <c r="C603" s="50" t="inlineStr">
        <is>
          <t>2026-06-24</t>
        </is>
      </c>
      <c r="D603" s="47" t="inlineStr">
        <is>
          <t>Hastane (Kurumsal)</t>
        </is>
      </c>
      <c r="E603" s="47" t="inlineStr">
        <is>
          <t>Lead Toplama (Form)</t>
        </is>
      </c>
      <c r="F603" s="47" t="inlineStr">
        <is>
          <t>Lead - Estetik/Plastik/Saç</t>
        </is>
      </c>
      <c r="G603" s="84" t="n">
        <v>234.5</v>
      </c>
      <c r="H603" s="47" t="inlineStr"/>
      <c r="I603" s="50" t="n">
        <v>0</v>
      </c>
      <c r="J603" s="50" t="n">
        <v>1466</v>
      </c>
      <c r="K603" s="50" t="n">
        <v>1940</v>
      </c>
    </row>
    <row r="604">
      <c r="A604" s="43" t="inlineStr">
        <is>
          <t>Doruk Hastaneleri</t>
        </is>
      </c>
      <c r="B604" s="43" t="inlineStr">
        <is>
          <t>Baş Dönmesi ve Denge Ünitesi / lead</t>
        </is>
      </c>
      <c r="C604" s="46" t="inlineStr">
        <is>
          <t>2026-07-05</t>
        </is>
      </c>
      <c r="D604" s="43" t="inlineStr">
        <is>
          <t>Hastane (Kurumsal)</t>
        </is>
      </c>
      <c r="E604" s="43" t="inlineStr">
        <is>
          <t>Lead Toplama (Form)</t>
        </is>
      </c>
      <c r="F604" s="43" t="inlineStr">
        <is>
          <t>Lead - Check-up/Tarama</t>
        </is>
      </c>
      <c r="G604" s="83" t="n">
        <v>233.22</v>
      </c>
      <c r="H604" s="43" t="inlineStr">
        <is>
          <t>Potansiyel müşteriler (form)</t>
        </is>
      </c>
      <c r="I604" s="46" t="n">
        <v>3</v>
      </c>
      <c r="J604" s="46" t="n">
        <v>4541</v>
      </c>
      <c r="K604" s="46" t="n">
        <v>5506</v>
      </c>
    </row>
    <row r="605">
      <c r="A605" s="47" t="inlineStr">
        <is>
          <t>Doruk Hastaneleri</t>
        </is>
      </c>
      <c r="B605" s="47" t="inlineStr">
        <is>
          <t>ABO / Göz Kapağı Estetiği / plastik cerrahi / lead</t>
        </is>
      </c>
      <c r="C605" s="50" t="inlineStr">
        <is>
          <t>2026-07-17</t>
        </is>
      </c>
      <c r="D605" s="47" t="inlineStr">
        <is>
          <t>Hastane (Kurumsal)</t>
        </is>
      </c>
      <c r="E605" s="47" t="inlineStr">
        <is>
          <t>Lead Toplama (Form)</t>
        </is>
      </c>
      <c r="F605" s="47" t="inlineStr">
        <is>
          <t>Lead - Estetik/Plastik/Saç</t>
        </is>
      </c>
      <c r="G605" s="84" t="n">
        <v>232.89</v>
      </c>
      <c r="H605" s="47" t="inlineStr">
        <is>
          <t>Potansiyel müşteriler (form)</t>
        </is>
      </c>
      <c r="I605" s="50" t="n">
        <v>1</v>
      </c>
      <c r="J605" s="50" t="n">
        <v>1335</v>
      </c>
      <c r="K605" s="50" t="n">
        <v>1646</v>
      </c>
    </row>
    <row r="606">
      <c r="A606" s="43" t="inlineStr">
        <is>
          <t>Doruk Hastaneleri</t>
        </is>
      </c>
      <c r="B606" s="43" t="inlineStr">
        <is>
          <t>ABO /Kepçe Kulak / plastik cerrahi / lead</t>
        </is>
      </c>
      <c r="C606" s="46" t="inlineStr">
        <is>
          <t>2026-07-17</t>
        </is>
      </c>
      <c r="D606" s="43" t="inlineStr">
        <is>
          <t>Hastane (Kurumsal)</t>
        </is>
      </c>
      <c r="E606" s="43" t="inlineStr">
        <is>
          <t>Lead Toplama (Form)</t>
        </is>
      </c>
      <c r="F606" s="43" t="inlineStr">
        <is>
          <t>Lead - Estetik/Plastik/Saç</t>
        </is>
      </c>
      <c r="G606" s="83" t="n">
        <v>229.64</v>
      </c>
      <c r="H606" s="43" t="inlineStr"/>
      <c r="I606" s="46" t="n">
        <v>0</v>
      </c>
      <c r="J606" s="46" t="n">
        <v>4607</v>
      </c>
      <c r="K606" s="46" t="n">
        <v>5148</v>
      </c>
    </row>
    <row r="607">
      <c r="A607" s="47" t="inlineStr">
        <is>
          <t>Doruk Hastaneleri</t>
        </is>
      </c>
      <c r="B607" s="47" t="inlineStr">
        <is>
          <t>ABO / Vücut Şekillendirme / plastik cerrahi / lead</t>
        </is>
      </c>
      <c r="C607" s="50" t="inlineStr">
        <is>
          <t>2026-07-17</t>
        </is>
      </c>
      <c r="D607" s="47" t="inlineStr">
        <is>
          <t>Hastane (Kurumsal)</t>
        </is>
      </c>
      <c r="E607" s="47" t="inlineStr">
        <is>
          <t>Lead Toplama (Form)</t>
        </is>
      </c>
      <c r="F607" s="47" t="inlineStr">
        <is>
          <t>Lead - Estetik/Plastik/Saç</t>
        </is>
      </c>
      <c r="G607" s="84" t="n">
        <v>227.35</v>
      </c>
      <c r="H607" s="47" t="inlineStr"/>
      <c r="I607" s="50" t="n">
        <v>0</v>
      </c>
      <c r="J607" s="50" t="n">
        <v>521</v>
      </c>
      <c r="K607" s="50" t="n">
        <v>692</v>
      </c>
    </row>
    <row r="608">
      <c r="A608" s="43" t="inlineStr">
        <is>
          <t>Doruk Hastaneleri</t>
        </is>
      </c>
      <c r="B608" s="43" t="inlineStr">
        <is>
          <t>ABO /Kepçe Kulak / plastik cerrahi / lead</t>
        </is>
      </c>
      <c r="C608" s="46" t="inlineStr">
        <is>
          <t>2026-06-29</t>
        </is>
      </c>
      <c r="D608" s="43" t="inlineStr">
        <is>
          <t>Hastane (Kurumsal)</t>
        </is>
      </c>
      <c r="E608" s="43" t="inlineStr">
        <is>
          <t>Lead Toplama (Form)</t>
        </is>
      </c>
      <c r="F608" s="43" t="inlineStr">
        <is>
          <t>Lead - Estetik/Plastik/Saç</t>
        </is>
      </c>
      <c r="G608" s="83" t="n">
        <v>226.79</v>
      </c>
      <c r="H608" s="43" t="inlineStr"/>
      <c r="I608" s="46" t="n">
        <v>0</v>
      </c>
      <c r="J608" s="46" t="n">
        <v>1314</v>
      </c>
      <c r="K608" s="46" t="n">
        <v>1843</v>
      </c>
    </row>
    <row r="609">
      <c r="A609" s="47" t="inlineStr">
        <is>
          <t>Doruk Hastaneleri</t>
        </is>
      </c>
      <c r="B609" s="47" t="inlineStr">
        <is>
          <t>CBO / Saç Ekimi - lead / soğuk</t>
        </is>
      </c>
      <c r="C609" s="50" t="inlineStr">
        <is>
          <t>2026-07-11</t>
        </is>
      </c>
      <c r="D609" s="47" t="inlineStr">
        <is>
          <t>Hastane (Kurumsal)</t>
        </is>
      </c>
      <c r="E609" s="47" t="inlineStr">
        <is>
          <t>Lead Toplama (Form)</t>
        </is>
      </c>
      <c r="F609" s="47" t="inlineStr">
        <is>
          <t>Lead - Estetik/Plastik/Saç</t>
        </is>
      </c>
      <c r="G609" s="84" t="n">
        <v>225.2</v>
      </c>
      <c r="H609" s="47" t="inlineStr">
        <is>
          <t>Potansiyel müşteriler (form)</t>
        </is>
      </c>
      <c r="I609" s="50" t="n">
        <v>1</v>
      </c>
      <c r="J609" s="50" t="n">
        <v>972</v>
      </c>
      <c r="K609" s="50" t="n">
        <v>1254</v>
      </c>
    </row>
    <row r="610">
      <c r="A610" s="43" t="inlineStr">
        <is>
          <t>Doruk Hastaneleri</t>
        </is>
      </c>
      <c r="B610" s="43" t="inlineStr">
        <is>
          <t>ABO / Meme Estetiği / plastik cerrahi / lead</t>
        </is>
      </c>
      <c r="C610" s="46" t="inlineStr">
        <is>
          <t>2026-07-21</t>
        </is>
      </c>
      <c r="D610" s="43" t="inlineStr">
        <is>
          <t>Hastane (Kurumsal)</t>
        </is>
      </c>
      <c r="E610" s="43" t="inlineStr">
        <is>
          <t>Lead Toplama (Form)</t>
        </is>
      </c>
      <c r="F610" s="43" t="inlineStr">
        <is>
          <t>Lead - Estetik/Plastik/Saç</t>
        </is>
      </c>
      <c r="G610" s="83" t="n">
        <v>219.81</v>
      </c>
      <c r="H610" s="43" t="inlineStr">
        <is>
          <t>Potansiyel müşteriler (form)</t>
        </is>
      </c>
      <c r="I610" s="46" t="n">
        <v>1</v>
      </c>
      <c r="J610" s="46" t="n">
        <v>1711</v>
      </c>
      <c r="K610" s="46" t="n">
        <v>1956</v>
      </c>
    </row>
    <row r="611">
      <c r="A611" s="47" t="inlineStr">
        <is>
          <t>Doruk Hastaneleri</t>
        </is>
      </c>
      <c r="B611" s="47" t="inlineStr">
        <is>
          <t>ABO / Göz Kapağı Estetiği / plastik cerrahi / lead</t>
        </is>
      </c>
      <c r="C611" s="50" t="inlineStr">
        <is>
          <t>2026-07-05</t>
        </is>
      </c>
      <c r="D611" s="47" t="inlineStr">
        <is>
          <t>Hastane (Kurumsal)</t>
        </is>
      </c>
      <c r="E611" s="47" t="inlineStr">
        <is>
          <t>Lead Toplama (Form)</t>
        </is>
      </c>
      <c r="F611" s="47" t="inlineStr">
        <is>
          <t>Lead - Estetik/Plastik/Saç</t>
        </is>
      </c>
      <c r="G611" s="84" t="n">
        <v>216.14</v>
      </c>
      <c r="H611" s="47" t="inlineStr">
        <is>
          <t>Potansiyel müşteriler (form)</t>
        </is>
      </c>
      <c r="I611" s="50" t="n">
        <v>1</v>
      </c>
      <c r="J611" s="50" t="n">
        <v>1468</v>
      </c>
      <c r="K611" s="50" t="n">
        <v>1836</v>
      </c>
    </row>
    <row r="612">
      <c r="A612" s="43" t="inlineStr">
        <is>
          <t>Doruk Hastaneleri</t>
        </is>
      </c>
      <c r="B612" s="43" t="inlineStr">
        <is>
          <t>ABO / Rinoplasti / plastik cerrahi / lead</t>
        </is>
      </c>
      <c r="C612" s="46" t="inlineStr">
        <is>
          <t>2026-07-14</t>
        </is>
      </c>
      <c r="D612" s="43" t="inlineStr">
        <is>
          <t>Hastane (Kurumsal)</t>
        </is>
      </c>
      <c r="E612" s="43" t="inlineStr">
        <is>
          <t>Lead Toplama (Form)</t>
        </is>
      </c>
      <c r="F612" s="43" t="inlineStr">
        <is>
          <t>Lead - Estetik/Plastik/Saç</t>
        </is>
      </c>
      <c r="G612" s="83" t="n">
        <v>215.8</v>
      </c>
      <c r="H612" s="43" t="inlineStr"/>
      <c r="I612" s="46" t="n">
        <v>0</v>
      </c>
      <c r="J612" s="46" t="n">
        <v>1531</v>
      </c>
      <c r="K612" s="46" t="n">
        <v>1761</v>
      </c>
    </row>
    <row r="613">
      <c r="A613" s="47" t="inlineStr">
        <is>
          <t>Doruk Hastaneleri</t>
        </is>
      </c>
      <c r="B613" s="47" t="inlineStr">
        <is>
          <t>ABO /Jinekomasti / plastik cerrahi / lead</t>
        </is>
      </c>
      <c r="C613" s="50" t="inlineStr">
        <is>
          <t>2026-07-05</t>
        </is>
      </c>
      <c r="D613" s="47" t="inlineStr">
        <is>
          <t>Hastane (Kurumsal)</t>
        </is>
      </c>
      <c r="E613" s="47" t="inlineStr">
        <is>
          <t>Lead Toplama (Form)</t>
        </is>
      </c>
      <c r="F613" s="47" t="inlineStr">
        <is>
          <t>Lead - Estetik/Plastik/Saç</t>
        </is>
      </c>
      <c r="G613" s="84" t="n">
        <v>214.96</v>
      </c>
      <c r="H613" s="47" t="inlineStr"/>
      <c r="I613" s="50" t="n">
        <v>0</v>
      </c>
      <c r="J613" s="50" t="n">
        <v>1606</v>
      </c>
      <c r="K613" s="50" t="n">
        <v>1963</v>
      </c>
    </row>
    <row r="614">
      <c r="A614" s="43" t="inlineStr">
        <is>
          <t>Doruk Hastaneleri</t>
        </is>
      </c>
      <c r="B614" s="43" t="inlineStr">
        <is>
          <t>ABO / Göz Kapağı Estetiği / plastik cerrahi / lead</t>
        </is>
      </c>
      <c r="C614" s="46" t="inlineStr">
        <is>
          <t>2026-06-29</t>
        </is>
      </c>
      <c r="D614" s="43" t="inlineStr">
        <is>
          <t>Hastane (Kurumsal)</t>
        </is>
      </c>
      <c r="E614" s="43" t="inlineStr">
        <is>
          <t>Lead Toplama (Form)</t>
        </is>
      </c>
      <c r="F614" s="43" t="inlineStr">
        <is>
          <t>Lead - Estetik/Plastik/Saç</t>
        </is>
      </c>
      <c r="G614" s="83" t="n">
        <v>209.44</v>
      </c>
      <c r="H614" s="43" t="inlineStr"/>
      <c r="I614" s="46" t="n">
        <v>0</v>
      </c>
      <c r="J614" s="46" t="n">
        <v>1126</v>
      </c>
      <c r="K614" s="46" t="n">
        <v>1567</v>
      </c>
    </row>
    <row r="615">
      <c r="A615" s="47" t="inlineStr">
        <is>
          <t>Doruk Hastaneleri</t>
        </is>
      </c>
      <c r="B615" s="47" t="inlineStr">
        <is>
          <t>Hemşire İş Başvuru - lead</t>
        </is>
      </c>
      <c r="C615" s="50" t="inlineStr">
        <is>
          <t>2026-07-06</t>
        </is>
      </c>
      <c r="D615" s="47" t="inlineStr">
        <is>
          <t>Hastane (Kurumsal)</t>
        </is>
      </c>
      <c r="E615" s="47" t="inlineStr">
        <is>
          <t>Lead Toplama (Form)</t>
        </is>
      </c>
      <c r="F615" s="47" t="inlineStr">
        <is>
          <t>Lead - İK/İş Başvurusu</t>
        </is>
      </c>
      <c r="G615" s="84" t="n">
        <v>207.04</v>
      </c>
      <c r="H615" s="47" t="inlineStr"/>
      <c r="I615" s="50" t="n">
        <v>0</v>
      </c>
      <c r="J615" s="50" t="n">
        <v>2839</v>
      </c>
      <c r="K615" s="50" t="n">
        <v>3836</v>
      </c>
    </row>
    <row r="616">
      <c r="A616" s="43" t="inlineStr">
        <is>
          <t>Doruk Hastaneleri</t>
        </is>
      </c>
      <c r="B616" s="43" t="inlineStr">
        <is>
          <t>ABO / Vücut Şekillendirme / plastik cerrahi / lead</t>
        </is>
      </c>
      <c r="C616" s="46" t="inlineStr">
        <is>
          <t>2026-06-24</t>
        </is>
      </c>
      <c r="D616" s="43" t="inlineStr">
        <is>
          <t>Hastane (Kurumsal)</t>
        </is>
      </c>
      <c r="E616" s="43" t="inlineStr">
        <is>
          <t>Lead Toplama (Form)</t>
        </is>
      </c>
      <c r="F616" s="43" t="inlineStr">
        <is>
          <t>Lead - Estetik/Plastik/Saç</t>
        </is>
      </c>
      <c r="G616" s="83" t="n">
        <v>201.99</v>
      </c>
      <c r="H616" s="43" t="inlineStr">
        <is>
          <t>Potansiyel müşteriler (form)</t>
        </is>
      </c>
      <c r="I616" s="46" t="n">
        <v>1</v>
      </c>
      <c r="J616" s="46" t="n">
        <v>469</v>
      </c>
      <c r="K616" s="46" t="n">
        <v>661</v>
      </c>
    </row>
    <row r="617">
      <c r="A617" s="47" t="inlineStr">
        <is>
          <t>Doruk Hastaneleri</t>
        </is>
      </c>
      <c r="B617" s="47" t="inlineStr">
        <is>
          <t>Checkup - genel - lead</t>
        </is>
      </c>
      <c r="C617" s="50" t="inlineStr">
        <is>
          <t>2026-07-14</t>
        </is>
      </c>
      <c r="D617" s="47" t="inlineStr">
        <is>
          <t>Hastane (Kurumsal)</t>
        </is>
      </c>
      <c r="E617" s="47" t="inlineStr">
        <is>
          <t>Lead Toplama (Form)</t>
        </is>
      </c>
      <c r="F617" s="47" t="inlineStr">
        <is>
          <t>Lead - Check-up/Tarama</t>
        </is>
      </c>
      <c r="G617" s="84" t="n">
        <v>195.79</v>
      </c>
      <c r="H617" s="47" t="inlineStr"/>
      <c r="I617" s="50" t="n">
        <v>0</v>
      </c>
      <c r="J617" s="50" t="n">
        <v>1668</v>
      </c>
      <c r="K617" s="50" t="n">
        <v>1866</v>
      </c>
    </row>
    <row r="618">
      <c r="A618" s="43" t="inlineStr">
        <is>
          <t>Doruk Hastaneleri</t>
        </is>
      </c>
      <c r="B618" s="43" t="inlineStr">
        <is>
          <t>ABO / Vücut Şekillendirme / plastik cerrahi / lead</t>
        </is>
      </c>
      <c r="C618" s="46" t="inlineStr">
        <is>
          <t>2026-07-09</t>
        </is>
      </c>
      <c r="D618" s="43" t="inlineStr">
        <is>
          <t>Hastane (Kurumsal)</t>
        </is>
      </c>
      <c r="E618" s="43" t="inlineStr">
        <is>
          <t>Lead Toplama (Form)</t>
        </is>
      </c>
      <c r="F618" s="43" t="inlineStr">
        <is>
          <t>Lead - Estetik/Plastik/Saç</t>
        </is>
      </c>
      <c r="G618" s="83" t="n">
        <v>192.38</v>
      </c>
      <c r="H618" s="43" t="inlineStr">
        <is>
          <t>Potansiyel müşteriler (form)</t>
        </is>
      </c>
      <c r="I618" s="46" t="n">
        <v>1</v>
      </c>
      <c r="J618" s="46" t="n">
        <v>469</v>
      </c>
      <c r="K618" s="46" t="n">
        <v>567</v>
      </c>
    </row>
    <row r="619">
      <c r="A619" s="47" t="inlineStr">
        <is>
          <t>Doruk Hastaneleri</t>
        </is>
      </c>
      <c r="B619" s="47" t="inlineStr">
        <is>
          <t>Prostat Checkup - lead</t>
        </is>
      </c>
      <c r="C619" s="50" t="inlineStr">
        <is>
          <t>2026-07-21</t>
        </is>
      </c>
      <c r="D619" s="47" t="inlineStr">
        <is>
          <t>Hastane (Kurumsal)</t>
        </is>
      </c>
      <c r="E619" s="47" t="inlineStr">
        <is>
          <t>Lead Toplama (Form)</t>
        </is>
      </c>
      <c r="F619" s="47" t="inlineStr">
        <is>
          <t>Lead - Check-up/Tarama</t>
        </is>
      </c>
      <c r="G619" s="84" t="n">
        <v>186.88</v>
      </c>
      <c r="H619" s="47" t="inlineStr">
        <is>
          <t>Potansiyel müşteriler (form)</t>
        </is>
      </c>
      <c r="I619" s="50" t="n">
        <v>3</v>
      </c>
      <c r="J619" s="50" t="n">
        <v>3076</v>
      </c>
      <c r="K619" s="50" t="n">
        <v>3270</v>
      </c>
    </row>
    <row r="620">
      <c r="A620" s="43" t="inlineStr">
        <is>
          <t>Doruk Hastaneleri</t>
        </is>
      </c>
      <c r="B620" s="43" t="inlineStr">
        <is>
          <t>Prostat Checkup - lead</t>
        </is>
      </c>
      <c r="C620" s="46" t="inlineStr">
        <is>
          <t>2026-07-11</t>
        </is>
      </c>
      <c r="D620" s="43" t="inlineStr">
        <is>
          <t>Hastane (Kurumsal)</t>
        </is>
      </c>
      <c r="E620" s="43" t="inlineStr">
        <is>
          <t>Lead Toplama (Form)</t>
        </is>
      </c>
      <c r="F620" s="43" t="inlineStr">
        <is>
          <t>Lead - Check-up/Tarama</t>
        </is>
      </c>
      <c r="G620" s="83" t="n">
        <v>186.03</v>
      </c>
      <c r="H620" s="43" t="inlineStr">
        <is>
          <t>Potansiyel müşteriler (form)</t>
        </is>
      </c>
      <c r="I620" s="46" t="n">
        <v>2</v>
      </c>
      <c r="J620" s="46" t="n">
        <v>2225</v>
      </c>
      <c r="K620" s="46" t="n">
        <v>2675</v>
      </c>
    </row>
    <row r="621">
      <c r="A621" s="47" t="inlineStr">
        <is>
          <t>Doruk Hastaneleri</t>
        </is>
      </c>
      <c r="B621" s="47" t="inlineStr">
        <is>
          <t>ABO /Kepçe Kulak / plastik cerrahi / lead</t>
        </is>
      </c>
      <c r="C621" s="50" t="inlineStr">
        <is>
          <t>2026-06-24</t>
        </is>
      </c>
      <c r="D621" s="47" t="inlineStr">
        <is>
          <t>Hastane (Kurumsal)</t>
        </is>
      </c>
      <c r="E621" s="47" t="inlineStr">
        <is>
          <t>Lead Toplama (Form)</t>
        </is>
      </c>
      <c r="F621" s="47" t="inlineStr">
        <is>
          <t>Lead - Estetik/Plastik/Saç</t>
        </is>
      </c>
      <c r="G621" s="84" t="n">
        <v>183.14</v>
      </c>
      <c r="H621" s="47" t="inlineStr">
        <is>
          <t>Potansiyel müşteriler (form)</t>
        </is>
      </c>
      <c r="I621" s="50" t="n">
        <v>1</v>
      </c>
      <c r="J621" s="50" t="n">
        <v>1305</v>
      </c>
      <c r="K621" s="50" t="n">
        <v>1581</v>
      </c>
    </row>
    <row r="622">
      <c r="A622" s="43" t="inlineStr">
        <is>
          <t>Doruk Hastaneleri</t>
        </is>
      </c>
      <c r="B622" s="43" t="inlineStr">
        <is>
          <t>Uzman Hekim Başvuru</t>
        </is>
      </c>
      <c r="C622" s="46" t="inlineStr">
        <is>
          <t>2026-07-21</t>
        </is>
      </c>
      <c r="D622" s="43" t="inlineStr">
        <is>
          <t>Hastane (Kurumsal)</t>
        </is>
      </c>
      <c r="E622" s="43" t="inlineStr">
        <is>
          <t>Lead Toplama (Form)</t>
        </is>
      </c>
      <c r="F622" s="43" t="inlineStr">
        <is>
          <t>Lead - İK/İş Başvurusu</t>
        </is>
      </c>
      <c r="G622" s="83" t="n">
        <v>183.04</v>
      </c>
      <c r="H622" s="43" t="inlineStr">
        <is>
          <t>Potansiyel müşteriler (form)</t>
        </is>
      </c>
      <c r="I622" s="46" t="n">
        <v>1</v>
      </c>
      <c r="J622" s="46" t="n">
        <v>1612</v>
      </c>
      <c r="K622" s="46" t="n">
        <v>1800</v>
      </c>
    </row>
    <row r="623">
      <c r="A623" s="47" t="inlineStr">
        <is>
          <t>Doruk Hastaneleri</t>
        </is>
      </c>
      <c r="B623" s="47" t="inlineStr">
        <is>
          <t>ABO / Yüz Germe (Facelift) / plastik cerrahi / lead</t>
        </is>
      </c>
      <c r="C623" s="50" t="inlineStr">
        <is>
          <t>2026-07-09</t>
        </is>
      </c>
      <c r="D623" s="47" t="inlineStr">
        <is>
          <t>Hastane (Kurumsal)</t>
        </is>
      </c>
      <c r="E623" s="47" t="inlineStr">
        <is>
          <t>Lead Toplama (Form)</t>
        </is>
      </c>
      <c r="F623" s="47" t="inlineStr">
        <is>
          <t>Lead - Estetik/Plastik/Saç</t>
        </is>
      </c>
      <c r="G623" s="84" t="n">
        <v>174.91</v>
      </c>
      <c r="H623" s="47" t="inlineStr"/>
      <c r="I623" s="50" t="n">
        <v>0</v>
      </c>
      <c r="J623" s="50" t="n">
        <v>379</v>
      </c>
      <c r="K623" s="50" t="n">
        <v>477</v>
      </c>
    </row>
    <row r="624">
      <c r="A624" s="43" t="inlineStr">
        <is>
          <t>Doruk Hastaneleri</t>
        </is>
      </c>
      <c r="B624" s="43" t="inlineStr">
        <is>
          <t>ABO /Jinekomasti / plastik cerrahi / lead</t>
        </is>
      </c>
      <c r="C624" s="46" t="inlineStr">
        <is>
          <t>2026-06-24</t>
        </is>
      </c>
      <c r="D624" s="43" t="inlineStr">
        <is>
          <t>Hastane (Kurumsal)</t>
        </is>
      </c>
      <c r="E624" s="43" t="inlineStr">
        <is>
          <t>Lead Toplama (Form)</t>
        </is>
      </c>
      <c r="F624" s="43" t="inlineStr">
        <is>
          <t>Lead - Estetik/Plastik/Saç</t>
        </is>
      </c>
      <c r="G624" s="83" t="n">
        <v>174.23</v>
      </c>
      <c r="H624" s="43" t="inlineStr"/>
      <c r="I624" s="46" t="n">
        <v>0</v>
      </c>
      <c r="J624" s="46" t="n">
        <v>1895</v>
      </c>
      <c r="K624" s="46" t="n">
        <v>2187</v>
      </c>
    </row>
    <row r="625">
      <c r="A625" s="47" t="inlineStr">
        <is>
          <t>Doruk Hastaneleri</t>
        </is>
      </c>
      <c r="B625" s="47" t="inlineStr">
        <is>
          <t>ABO / Yüz Germe (Facelift) / plastik cerrahi / lead</t>
        </is>
      </c>
      <c r="C625" s="50" t="inlineStr">
        <is>
          <t>2026-07-22</t>
        </is>
      </c>
      <c r="D625" s="47" t="inlineStr">
        <is>
          <t>Hastane (Kurumsal)</t>
        </is>
      </c>
      <c r="E625" s="47" t="inlineStr">
        <is>
          <t>Lead Toplama (Form)</t>
        </is>
      </c>
      <c r="F625" s="47" t="inlineStr">
        <is>
          <t>Lead - Estetik/Plastik/Saç</t>
        </is>
      </c>
      <c r="G625" s="84" t="n">
        <v>174.15</v>
      </c>
      <c r="H625" s="47" t="inlineStr"/>
      <c r="I625" s="50" t="n">
        <v>0</v>
      </c>
      <c r="J625" s="50" t="n">
        <v>338</v>
      </c>
      <c r="K625" s="50" t="n">
        <v>442</v>
      </c>
    </row>
    <row r="626">
      <c r="A626" s="43" t="inlineStr">
        <is>
          <t>Doruk Hastaneleri</t>
        </is>
      </c>
      <c r="B626" s="43" t="inlineStr">
        <is>
          <t>ABO / Yüz Germe (Facelift) / plastik cerrahi / lead</t>
        </is>
      </c>
      <c r="C626" s="46" t="inlineStr">
        <is>
          <t>2026-06-24</t>
        </is>
      </c>
      <c r="D626" s="43" t="inlineStr">
        <is>
          <t>Hastane (Kurumsal)</t>
        </is>
      </c>
      <c r="E626" s="43" t="inlineStr">
        <is>
          <t>Lead Toplama (Form)</t>
        </is>
      </c>
      <c r="F626" s="43" t="inlineStr">
        <is>
          <t>Lead - Estetik/Plastik/Saç</t>
        </is>
      </c>
      <c r="G626" s="83" t="n">
        <v>169.25</v>
      </c>
      <c r="H626" s="43" t="inlineStr">
        <is>
          <t>Potansiyel müşteriler (form)</t>
        </is>
      </c>
      <c r="I626" s="46" t="n">
        <v>1</v>
      </c>
      <c r="J626" s="46" t="n">
        <v>406</v>
      </c>
      <c r="K626" s="46" t="n">
        <v>498</v>
      </c>
    </row>
    <row r="627">
      <c r="A627" s="47" t="inlineStr">
        <is>
          <t>Doruk Hastaneleri</t>
        </is>
      </c>
      <c r="B627" s="47" t="inlineStr">
        <is>
          <t>CBO / Saç Ekimi - lead / soğuk</t>
        </is>
      </c>
      <c r="C627" s="50" t="inlineStr">
        <is>
          <t>2026-07-06</t>
        </is>
      </c>
      <c r="D627" s="47" t="inlineStr">
        <is>
          <t>Hastane (Kurumsal)</t>
        </is>
      </c>
      <c r="E627" s="47" t="inlineStr">
        <is>
          <t>Lead Toplama (Form)</t>
        </is>
      </c>
      <c r="F627" s="47" t="inlineStr">
        <is>
          <t>Lead - Estetik/Plastik/Saç</t>
        </is>
      </c>
      <c r="G627" s="84" t="n">
        <v>155.38</v>
      </c>
      <c r="H627" s="47" t="inlineStr"/>
      <c r="I627" s="50" t="n">
        <v>0</v>
      </c>
      <c r="J627" s="50" t="n">
        <v>572</v>
      </c>
      <c r="K627" s="50" t="n">
        <v>747</v>
      </c>
    </row>
    <row r="628">
      <c r="A628" s="43" t="inlineStr">
        <is>
          <t>Doruk Hastaneleri</t>
        </is>
      </c>
      <c r="B628" s="43" t="inlineStr">
        <is>
          <t>ABO / Rinoplasti / plastik cerrahi / lead</t>
        </is>
      </c>
      <c r="C628" s="46" t="inlineStr">
        <is>
          <t>2026-07-06</t>
        </is>
      </c>
      <c r="D628" s="43" t="inlineStr">
        <is>
          <t>Hastane (Kurumsal)</t>
        </is>
      </c>
      <c r="E628" s="43" t="inlineStr">
        <is>
          <t>Lead Toplama (Form)</t>
        </is>
      </c>
      <c r="F628" s="43" t="inlineStr">
        <is>
          <t>Lead - Estetik/Plastik/Saç</t>
        </is>
      </c>
      <c r="G628" s="83" t="n">
        <v>155.1</v>
      </c>
      <c r="H628" s="43" t="inlineStr"/>
      <c r="I628" s="46" t="n">
        <v>0</v>
      </c>
      <c r="J628" s="46" t="n">
        <v>595</v>
      </c>
      <c r="K628" s="46" t="n">
        <v>743</v>
      </c>
    </row>
    <row r="629">
      <c r="A629" s="47" t="inlineStr">
        <is>
          <t>Doruk Hastaneleri</t>
        </is>
      </c>
      <c r="B629" s="47" t="inlineStr">
        <is>
          <t>ABO /Kepçe Kulak / plastik cerrahi / lead</t>
        </is>
      </c>
      <c r="C629" s="50" t="inlineStr">
        <is>
          <t>2026-07-09</t>
        </is>
      </c>
      <c r="D629" s="47" t="inlineStr">
        <is>
          <t>Hastane (Kurumsal)</t>
        </is>
      </c>
      <c r="E629" s="47" t="inlineStr">
        <is>
          <t>Lead Toplama (Form)</t>
        </is>
      </c>
      <c r="F629" s="47" t="inlineStr">
        <is>
          <t>Lead - Estetik/Plastik/Saç</t>
        </is>
      </c>
      <c r="G629" s="84" t="n">
        <v>154.66</v>
      </c>
      <c r="H629" s="47" t="inlineStr"/>
      <c r="I629" s="50" t="n">
        <v>0</v>
      </c>
      <c r="J629" s="50" t="n">
        <v>3182</v>
      </c>
      <c r="K629" s="50" t="n">
        <v>3457</v>
      </c>
    </row>
    <row r="630">
      <c r="A630" s="43" t="inlineStr">
        <is>
          <t>Doruk Hastaneleri</t>
        </is>
      </c>
      <c r="B630" s="43" t="inlineStr">
        <is>
          <t>ABO /Jinekomasti / plastik cerrahi / lead</t>
        </is>
      </c>
      <c r="C630" s="46" t="inlineStr">
        <is>
          <t>2026-07-09</t>
        </is>
      </c>
      <c r="D630" s="43" t="inlineStr">
        <is>
          <t>Hastane (Kurumsal)</t>
        </is>
      </c>
      <c r="E630" s="43" t="inlineStr">
        <is>
          <t>Lead Toplama (Form)</t>
        </is>
      </c>
      <c r="F630" s="43" t="inlineStr">
        <is>
          <t>Lead - Estetik/Plastik/Saç</t>
        </is>
      </c>
      <c r="G630" s="83" t="n">
        <v>153.31</v>
      </c>
      <c r="H630" s="43" t="inlineStr">
        <is>
          <t>Potansiyel müşteriler (form)</t>
        </is>
      </c>
      <c r="I630" s="46" t="n">
        <v>1</v>
      </c>
      <c r="J630" s="46" t="n">
        <v>1196</v>
      </c>
      <c r="K630" s="46" t="n">
        <v>1468</v>
      </c>
    </row>
    <row r="631">
      <c r="A631" s="47" t="inlineStr">
        <is>
          <t>Doruk Hastaneleri</t>
        </is>
      </c>
      <c r="B631" s="47" t="inlineStr">
        <is>
          <t>ABO / Göz Kapağı Estetiği / plastik cerrahi / lead</t>
        </is>
      </c>
      <c r="C631" s="50" t="inlineStr">
        <is>
          <t>2026-07-09</t>
        </is>
      </c>
      <c r="D631" s="47" t="inlineStr">
        <is>
          <t>Hastane (Kurumsal)</t>
        </is>
      </c>
      <c r="E631" s="47" t="inlineStr">
        <is>
          <t>Lead Toplama (Form)</t>
        </is>
      </c>
      <c r="F631" s="47" t="inlineStr">
        <is>
          <t>Lead - Estetik/Plastik/Saç</t>
        </is>
      </c>
      <c r="G631" s="84" t="n">
        <v>149.18</v>
      </c>
      <c r="H631" s="47" t="inlineStr">
        <is>
          <t>Potansiyel müşteriler (form)</t>
        </is>
      </c>
      <c r="I631" s="50" t="n">
        <v>1</v>
      </c>
      <c r="J631" s="50" t="n">
        <v>923</v>
      </c>
      <c r="K631" s="50" t="n">
        <v>1117</v>
      </c>
    </row>
    <row r="632">
      <c r="A632" s="43" t="inlineStr">
        <is>
          <t>Doruk Hastaneleri</t>
        </is>
      </c>
      <c r="B632" s="43" t="inlineStr">
        <is>
          <t>ABO / Vücut Şekillendirme / plastik cerrahi / lead</t>
        </is>
      </c>
      <c r="C632" s="46" t="inlineStr">
        <is>
          <t>2026-07-22</t>
        </is>
      </c>
      <c r="D632" s="43" t="inlineStr">
        <is>
          <t>Hastane (Kurumsal)</t>
        </is>
      </c>
      <c r="E632" s="43" t="inlineStr">
        <is>
          <t>Lead Toplama (Form)</t>
        </is>
      </c>
      <c r="F632" s="43" t="inlineStr">
        <is>
          <t>Lead - Estetik/Plastik/Saç</t>
        </is>
      </c>
      <c r="G632" s="83" t="n">
        <v>149.08</v>
      </c>
      <c r="H632" s="43" t="inlineStr">
        <is>
          <t>Potansiyel müşteriler (form)</t>
        </is>
      </c>
      <c r="I632" s="46" t="n">
        <v>1</v>
      </c>
      <c r="J632" s="46" t="n">
        <v>525</v>
      </c>
      <c r="K632" s="46" t="n">
        <v>685</v>
      </c>
    </row>
    <row r="633">
      <c r="A633" s="47" t="inlineStr">
        <is>
          <t>Doruk Hastaneleri</t>
        </is>
      </c>
      <c r="B633" s="47" t="inlineStr">
        <is>
          <t>Uzman Hekim Başvuru</t>
        </is>
      </c>
      <c r="C633" s="50" t="inlineStr">
        <is>
          <t>2026-07-14</t>
        </is>
      </c>
      <c r="D633" s="47" t="inlineStr">
        <is>
          <t>Hastane (Kurumsal)</t>
        </is>
      </c>
      <c r="E633" s="47" t="inlineStr">
        <is>
          <t>Lead Toplama (Form)</t>
        </is>
      </c>
      <c r="F633" s="47" t="inlineStr">
        <is>
          <t>Lead - İK/İş Başvurusu</t>
        </is>
      </c>
      <c r="G633" s="84" t="n">
        <v>148.29</v>
      </c>
      <c r="H633" s="47" t="inlineStr"/>
      <c r="I633" s="50" t="n">
        <v>0</v>
      </c>
      <c r="J633" s="50" t="n">
        <v>1225</v>
      </c>
      <c r="K633" s="50" t="n">
        <v>1362</v>
      </c>
    </row>
    <row r="634">
      <c r="A634" s="43" t="inlineStr">
        <is>
          <t>Doruk Hastaneleri</t>
        </is>
      </c>
      <c r="B634" s="43" t="inlineStr">
        <is>
          <t>ABO /Jinekomasti / plastik cerrahi / lead</t>
        </is>
      </c>
      <c r="C634" s="46" t="inlineStr">
        <is>
          <t>2026-07-22</t>
        </is>
      </c>
      <c r="D634" s="43" t="inlineStr">
        <is>
          <t>Hastane (Kurumsal)</t>
        </is>
      </c>
      <c r="E634" s="43" t="inlineStr">
        <is>
          <t>Lead Toplama (Form)</t>
        </is>
      </c>
      <c r="F634" s="43" t="inlineStr">
        <is>
          <t>Lead - Estetik/Plastik/Saç</t>
        </is>
      </c>
      <c r="G634" s="83" t="n">
        <v>147.37</v>
      </c>
      <c r="H634" s="43" t="inlineStr">
        <is>
          <t>Potansiyel müşteriler (form)</t>
        </is>
      </c>
      <c r="I634" s="46" t="n">
        <v>1</v>
      </c>
      <c r="J634" s="46" t="n">
        <v>1189</v>
      </c>
      <c r="K634" s="46" t="n">
        <v>1416</v>
      </c>
    </row>
    <row r="635">
      <c r="A635" s="47" t="inlineStr">
        <is>
          <t>Doruk Hastaneleri</t>
        </is>
      </c>
      <c r="B635" s="47" t="inlineStr">
        <is>
          <t>ABO /Kepçe Kulak / plastik cerrahi / lead</t>
        </is>
      </c>
      <c r="C635" s="50" t="inlineStr">
        <is>
          <t>2026-07-22</t>
        </is>
      </c>
      <c r="D635" s="47" t="inlineStr">
        <is>
          <t>Hastane (Kurumsal)</t>
        </is>
      </c>
      <c r="E635" s="47" t="inlineStr">
        <is>
          <t>Lead Toplama (Form)</t>
        </is>
      </c>
      <c r="F635" s="47" t="inlineStr">
        <is>
          <t>Lead - Estetik/Plastik/Saç</t>
        </is>
      </c>
      <c r="G635" s="84" t="n">
        <v>143.97</v>
      </c>
      <c r="H635" s="47" t="inlineStr"/>
      <c r="I635" s="50" t="n">
        <v>0</v>
      </c>
      <c r="J635" s="50" t="n">
        <v>3334</v>
      </c>
      <c r="K635" s="50" t="n">
        <v>3574</v>
      </c>
    </row>
    <row r="636">
      <c r="A636" s="43" t="inlineStr">
        <is>
          <t>Doruk Hastaneleri</t>
        </is>
      </c>
      <c r="B636" s="43" t="inlineStr">
        <is>
          <t>ABO / Göz Kapağı Estetiği / plastik cerrahi / lead</t>
        </is>
      </c>
      <c r="C636" s="46" t="inlineStr">
        <is>
          <t>2026-07-22</t>
        </is>
      </c>
      <c r="D636" s="43" t="inlineStr">
        <is>
          <t>Hastane (Kurumsal)</t>
        </is>
      </c>
      <c r="E636" s="43" t="inlineStr">
        <is>
          <t>Lead Toplama (Form)</t>
        </is>
      </c>
      <c r="F636" s="43" t="inlineStr">
        <is>
          <t>Lead - Estetik/Plastik/Saç</t>
        </is>
      </c>
      <c r="G636" s="83" t="n">
        <v>143.51</v>
      </c>
      <c r="H636" s="43" t="inlineStr"/>
      <c r="I636" s="46" t="n">
        <v>0</v>
      </c>
      <c r="J636" s="46" t="n">
        <v>1182</v>
      </c>
      <c r="K636" s="46" t="n">
        <v>1414</v>
      </c>
    </row>
    <row r="637">
      <c r="A637" s="47" t="inlineStr">
        <is>
          <t>Doruk Hastaneleri</t>
        </is>
      </c>
      <c r="B637" s="47" t="inlineStr">
        <is>
          <t>ABO /Kepçe Kulak / plastik cerrahi / lead</t>
        </is>
      </c>
      <c r="C637" s="50" t="inlineStr">
        <is>
          <t>2026-07-05</t>
        </is>
      </c>
      <c r="D637" s="47" t="inlineStr">
        <is>
          <t>Hastane (Kurumsal)</t>
        </is>
      </c>
      <c r="E637" s="47" t="inlineStr">
        <is>
          <t>Lead Toplama (Form)</t>
        </is>
      </c>
      <c r="F637" s="47" t="inlineStr">
        <is>
          <t>Lead - Estetik/Plastik/Saç</t>
        </is>
      </c>
      <c r="G637" s="84" t="n">
        <v>142.23</v>
      </c>
      <c r="H637" s="47" t="inlineStr">
        <is>
          <t>Potansiyel müşteriler (form)</t>
        </is>
      </c>
      <c r="I637" s="50" t="n">
        <v>1</v>
      </c>
      <c r="J637" s="50" t="n">
        <v>3178</v>
      </c>
      <c r="K637" s="50" t="n">
        <v>3480</v>
      </c>
    </row>
    <row r="638">
      <c r="A638" s="43" t="inlineStr">
        <is>
          <t>Doruk Hastaneleri</t>
        </is>
      </c>
      <c r="B638" s="43" t="inlineStr">
        <is>
          <t>Uzman Hekim Başvuru</t>
        </is>
      </c>
      <c r="C638" s="46" t="inlineStr">
        <is>
          <t>2026-07-06</t>
        </is>
      </c>
      <c r="D638" s="43" t="inlineStr">
        <is>
          <t>Hastane (Kurumsal)</t>
        </is>
      </c>
      <c r="E638" s="43" t="inlineStr">
        <is>
          <t>Lead Toplama (Form)</t>
        </is>
      </c>
      <c r="F638" s="43" t="inlineStr">
        <is>
          <t>Lead - İK/İş Başvurusu</t>
        </is>
      </c>
      <c r="G638" s="83" t="n">
        <v>142.05</v>
      </c>
      <c r="H638" s="43" t="inlineStr"/>
      <c r="I638" s="46" t="n">
        <v>0</v>
      </c>
      <c r="J638" s="46" t="n">
        <v>879</v>
      </c>
      <c r="K638" s="46" t="n">
        <v>1023</v>
      </c>
    </row>
    <row r="639">
      <c r="A639" s="47" t="inlineStr">
        <is>
          <t>Doruk Hastaneleri</t>
        </is>
      </c>
      <c r="B639" s="47" t="inlineStr">
        <is>
          <t>ABO /Kepçe Kulak / plastik cerrahi / lead</t>
        </is>
      </c>
      <c r="C639" s="50" t="inlineStr">
        <is>
          <t>2026-07-14</t>
        </is>
      </c>
      <c r="D639" s="47" t="inlineStr">
        <is>
          <t>Hastane (Kurumsal)</t>
        </is>
      </c>
      <c r="E639" s="47" t="inlineStr">
        <is>
          <t>Lead Toplama (Form)</t>
        </is>
      </c>
      <c r="F639" s="47" t="inlineStr">
        <is>
          <t>Lead - Estetik/Plastik/Saç</t>
        </is>
      </c>
      <c r="G639" s="84" t="n">
        <v>140.77</v>
      </c>
      <c r="H639" s="47" t="inlineStr">
        <is>
          <t>Potansiyel müşteriler (form)</t>
        </is>
      </c>
      <c r="I639" s="50" t="n">
        <v>4</v>
      </c>
      <c r="J639" s="50" t="n">
        <v>3391</v>
      </c>
      <c r="K639" s="50" t="n">
        <v>3505</v>
      </c>
    </row>
    <row r="640">
      <c r="A640" s="43" t="inlineStr">
        <is>
          <t>Doruk Hastaneleri</t>
        </is>
      </c>
      <c r="B640" s="43" t="inlineStr">
        <is>
          <t>ABO / Meme Estetiği / plastik cerrahi / lead</t>
        </is>
      </c>
      <c r="C640" s="46" t="inlineStr">
        <is>
          <t>2026-07-06</t>
        </is>
      </c>
      <c r="D640" s="43" t="inlineStr">
        <is>
          <t>Hastane (Kurumsal)</t>
        </is>
      </c>
      <c r="E640" s="43" t="inlineStr">
        <is>
          <t>Lead Toplama (Form)</t>
        </is>
      </c>
      <c r="F640" s="43" t="inlineStr">
        <is>
          <t>Lead - Estetik/Plastik/Saç</t>
        </is>
      </c>
      <c r="G640" s="83" t="n">
        <v>129.21</v>
      </c>
      <c r="H640" s="43" t="inlineStr"/>
      <c r="I640" s="46" t="n">
        <v>0</v>
      </c>
      <c r="J640" s="46" t="n">
        <v>817</v>
      </c>
      <c r="K640" s="46" t="n">
        <v>1025</v>
      </c>
    </row>
    <row r="641">
      <c r="A641" s="47" t="inlineStr">
        <is>
          <t>Doruk Hastaneleri</t>
        </is>
      </c>
      <c r="B641" s="47" t="inlineStr">
        <is>
          <t>ABO / Rinoplasti / plastik cerrahi / lead</t>
        </is>
      </c>
      <c r="C641" s="50" t="inlineStr">
        <is>
          <t>2026-07-11</t>
        </is>
      </c>
      <c r="D641" s="47" t="inlineStr">
        <is>
          <t>Hastane (Kurumsal)</t>
        </is>
      </c>
      <c r="E641" s="47" t="inlineStr">
        <is>
          <t>Lead Toplama (Form)</t>
        </is>
      </c>
      <c r="F641" s="47" t="inlineStr">
        <is>
          <t>Lead - Estetik/Plastik/Saç</t>
        </is>
      </c>
      <c r="G641" s="84" t="n">
        <v>128.98</v>
      </c>
      <c r="H641" s="47" t="inlineStr">
        <is>
          <t>Potansiyel müşteriler (form)</t>
        </is>
      </c>
      <c r="I641" s="50" t="n">
        <v>1</v>
      </c>
      <c r="J641" s="50" t="n">
        <v>829</v>
      </c>
      <c r="K641" s="50" t="n">
        <v>1004</v>
      </c>
    </row>
    <row r="642">
      <c r="A642" s="43" t="inlineStr">
        <is>
          <t>Doruk Hastaneleri</t>
        </is>
      </c>
      <c r="B642" s="43" t="inlineStr">
        <is>
          <t>Baş Dönmesi ve Denge Ünitesi / lead</t>
        </is>
      </c>
      <c r="C642" s="46" t="inlineStr">
        <is>
          <t>2026-07-11</t>
        </is>
      </c>
      <c r="D642" s="43" t="inlineStr">
        <is>
          <t>Hastane (Kurumsal)</t>
        </is>
      </c>
      <c r="E642" s="43" t="inlineStr">
        <is>
          <t>Lead Toplama (Form)</t>
        </is>
      </c>
      <c r="F642" s="43" t="inlineStr">
        <is>
          <t>Lead - Check-up/Tarama</t>
        </is>
      </c>
      <c r="G642" s="83" t="n">
        <v>125.69</v>
      </c>
      <c r="H642" s="43" t="inlineStr">
        <is>
          <t>Potansiyel müşteriler (form)</t>
        </is>
      </c>
      <c r="I642" s="46" t="n">
        <v>1</v>
      </c>
      <c r="J642" s="46" t="n">
        <v>2313</v>
      </c>
      <c r="K642" s="46" t="n">
        <v>2606</v>
      </c>
    </row>
    <row r="643">
      <c r="A643" s="47" t="inlineStr">
        <is>
          <t>Doruk Hastaneleri</t>
        </is>
      </c>
      <c r="B643" s="47" t="inlineStr">
        <is>
          <t>Checkup - genel - lead</t>
        </is>
      </c>
      <c r="C643" s="50" t="inlineStr">
        <is>
          <t>2026-07-06</t>
        </is>
      </c>
      <c r="D643" s="47" t="inlineStr">
        <is>
          <t>Hastane (Kurumsal)</t>
        </is>
      </c>
      <c r="E643" s="47" t="inlineStr">
        <is>
          <t>Lead Toplama (Form)</t>
        </is>
      </c>
      <c r="F643" s="47" t="inlineStr">
        <is>
          <t>Lead - Check-up/Tarama</t>
        </is>
      </c>
      <c r="G643" s="84" t="n">
        <v>99.87</v>
      </c>
      <c r="H643" s="47" t="inlineStr"/>
      <c r="I643" s="50" t="n">
        <v>0</v>
      </c>
      <c r="J643" s="50" t="n">
        <v>580</v>
      </c>
      <c r="K643" s="50" t="n">
        <v>704</v>
      </c>
    </row>
    <row r="644">
      <c r="A644" s="43" t="inlineStr">
        <is>
          <t>Doruk Hastaneleri</t>
        </is>
      </c>
      <c r="B644" s="43" t="inlineStr">
        <is>
          <t>Baş Dönmesi ve Denge Ünitesi / lead</t>
        </is>
      </c>
      <c r="C644" s="46" t="inlineStr">
        <is>
          <t>2026-07-21</t>
        </is>
      </c>
      <c r="D644" s="43" t="inlineStr">
        <is>
          <t>Hastane (Kurumsal)</t>
        </is>
      </c>
      <c r="E644" s="43" t="inlineStr">
        <is>
          <t>Lead Toplama (Form)</t>
        </is>
      </c>
      <c r="F644" s="43" t="inlineStr">
        <is>
          <t>Lead - Check-up/Tarama</t>
        </is>
      </c>
      <c r="G644" s="83" t="n">
        <v>94.02</v>
      </c>
      <c r="H644" s="43" t="inlineStr">
        <is>
          <t>Potansiyel müşteriler (form)</t>
        </is>
      </c>
      <c r="I644" s="46" t="n">
        <v>1</v>
      </c>
      <c r="J644" s="46" t="n">
        <v>1675</v>
      </c>
      <c r="K644" s="46" t="n">
        <v>1808</v>
      </c>
    </row>
    <row r="645">
      <c r="A645" s="47" t="inlineStr">
        <is>
          <t>Doruk Hastaneleri</t>
        </is>
      </c>
      <c r="B645" s="47" t="inlineStr">
        <is>
          <t>ABO / Vücut Şekillendirme / plastik cerrahi / lead</t>
        </is>
      </c>
      <c r="C645" s="50" t="inlineStr">
        <is>
          <t>2026-07-21</t>
        </is>
      </c>
      <c r="D645" s="47" t="inlineStr">
        <is>
          <t>Hastane (Kurumsal)</t>
        </is>
      </c>
      <c r="E645" s="47" t="inlineStr">
        <is>
          <t>Lead Toplama (Form)</t>
        </is>
      </c>
      <c r="F645" s="47" t="inlineStr">
        <is>
          <t>Lead - Estetik/Plastik/Saç</t>
        </is>
      </c>
      <c r="G645" s="84" t="n">
        <v>91.54000000000001</v>
      </c>
      <c r="H645" s="47" t="inlineStr"/>
      <c r="I645" s="50" t="n">
        <v>0</v>
      </c>
      <c r="J645" s="50" t="n">
        <v>294</v>
      </c>
      <c r="K645" s="50" t="n">
        <v>349</v>
      </c>
    </row>
    <row r="646">
      <c r="A646" s="43" t="inlineStr">
        <is>
          <t>Doruk Hastaneleri</t>
        </is>
      </c>
      <c r="B646" s="43" t="inlineStr">
        <is>
          <t>ABO / Yüz Germe (Facelift) / plastik cerrahi / lead</t>
        </is>
      </c>
      <c r="C646" s="46" t="inlineStr">
        <is>
          <t>2026-07-14</t>
        </is>
      </c>
      <c r="D646" s="43" t="inlineStr">
        <is>
          <t>Hastane (Kurumsal)</t>
        </is>
      </c>
      <c r="E646" s="43" t="inlineStr">
        <is>
          <t>Lead Toplama (Form)</t>
        </is>
      </c>
      <c r="F646" s="43" t="inlineStr">
        <is>
          <t>Lead - Estetik/Plastik/Saç</t>
        </is>
      </c>
      <c r="G646" s="83" t="n">
        <v>91.52</v>
      </c>
      <c r="H646" s="43" t="inlineStr"/>
      <c r="I646" s="46" t="n">
        <v>0</v>
      </c>
      <c r="J646" s="46" t="n">
        <v>184</v>
      </c>
      <c r="K646" s="46" t="n">
        <v>218</v>
      </c>
    </row>
    <row r="647">
      <c r="A647" s="47" t="inlineStr">
        <is>
          <t>Doruk Hastaneleri</t>
        </is>
      </c>
      <c r="B647" s="47" t="inlineStr">
        <is>
          <t>ABO /Jinekomasti / plastik cerrahi / lead</t>
        </is>
      </c>
      <c r="C647" s="50" t="inlineStr">
        <is>
          <t>2026-07-21</t>
        </is>
      </c>
      <c r="D647" s="47" t="inlineStr">
        <is>
          <t>Hastane (Kurumsal)</t>
        </is>
      </c>
      <c r="E647" s="47" t="inlineStr">
        <is>
          <t>Lead Toplama (Form)</t>
        </is>
      </c>
      <c r="F647" s="47" t="inlineStr">
        <is>
          <t>Lead - Estetik/Plastik/Saç</t>
        </is>
      </c>
      <c r="G647" s="84" t="n">
        <v>88.64</v>
      </c>
      <c r="H647" s="47" t="inlineStr"/>
      <c r="I647" s="50" t="n">
        <v>0</v>
      </c>
      <c r="J647" s="50" t="n">
        <v>527</v>
      </c>
      <c r="K647" s="50" t="n">
        <v>602</v>
      </c>
    </row>
    <row r="648">
      <c r="A648" s="43" t="inlineStr">
        <is>
          <t>Doruk Hastaneleri</t>
        </is>
      </c>
      <c r="B648" s="43" t="inlineStr">
        <is>
          <t>ABO / Vücut Şekillendirme / plastik cerrahi / lead</t>
        </is>
      </c>
      <c r="C648" s="46" t="inlineStr">
        <is>
          <t>2026-07-11</t>
        </is>
      </c>
      <c r="D648" s="43" t="inlineStr">
        <is>
          <t>Hastane (Kurumsal)</t>
        </is>
      </c>
      <c r="E648" s="43" t="inlineStr">
        <is>
          <t>Lead Toplama (Form)</t>
        </is>
      </c>
      <c r="F648" s="43" t="inlineStr">
        <is>
          <t>Lead - Estetik/Plastik/Saç</t>
        </is>
      </c>
      <c r="G648" s="83" t="n">
        <v>87.08</v>
      </c>
      <c r="H648" s="43" t="inlineStr">
        <is>
          <t>Potansiyel müşteriler (form)</t>
        </is>
      </c>
      <c r="I648" s="46" t="n">
        <v>2</v>
      </c>
      <c r="J648" s="46" t="n">
        <v>183</v>
      </c>
      <c r="K648" s="46" t="n">
        <v>225</v>
      </c>
    </row>
    <row r="649">
      <c r="A649" s="47" t="inlineStr">
        <is>
          <t>Doruk Hastaneleri</t>
        </is>
      </c>
      <c r="B649" s="47" t="inlineStr">
        <is>
          <t>ABO /Kepçe Kulak / plastik cerrahi / lead</t>
        </is>
      </c>
      <c r="C649" s="50" t="inlineStr">
        <is>
          <t>2026-07-11</t>
        </is>
      </c>
      <c r="D649" s="47" t="inlineStr">
        <is>
          <t>Hastane (Kurumsal)</t>
        </is>
      </c>
      <c r="E649" s="47" t="inlineStr">
        <is>
          <t>Lead Toplama (Form)</t>
        </is>
      </c>
      <c r="F649" s="47" t="inlineStr">
        <is>
          <t>Lead - Estetik/Plastik/Saç</t>
        </is>
      </c>
      <c r="G649" s="84" t="n">
        <v>82.01000000000001</v>
      </c>
      <c r="H649" s="47" t="inlineStr"/>
      <c r="I649" s="50" t="n">
        <v>0</v>
      </c>
      <c r="J649" s="50" t="n">
        <v>2350</v>
      </c>
      <c r="K649" s="50" t="n">
        <v>2366</v>
      </c>
    </row>
    <row r="650">
      <c r="A650" s="43" t="inlineStr">
        <is>
          <t>Doruk Hastaneleri</t>
        </is>
      </c>
      <c r="B650" s="43" t="inlineStr">
        <is>
          <t>ABO / Göz Kapağı Estetiği / plastik cerrahi / lead</t>
        </is>
      </c>
      <c r="C650" s="46" t="inlineStr">
        <is>
          <t>2026-07-11</t>
        </is>
      </c>
      <c r="D650" s="43" t="inlineStr">
        <is>
          <t>Hastane (Kurumsal)</t>
        </is>
      </c>
      <c r="E650" s="43" t="inlineStr">
        <is>
          <t>Lead Toplama (Form)</t>
        </is>
      </c>
      <c r="F650" s="43" t="inlineStr">
        <is>
          <t>Lead - Estetik/Plastik/Saç</t>
        </is>
      </c>
      <c r="G650" s="83" t="n">
        <v>81.83</v>
      </c>
      <c r="H650" s="43" t="inlineStr">
        <is>
          <t>Potansiyel müşteriler (form)</t>
        </is>
      </c>
      <c r="I650" s="46" t="n">
        <v>1</v>
      </c>
      <c r="J650" s="46" t="n">
        <v>604</v>
      </c>
      <c r="K650" s="46" t="n">
        <v>723</v>
      </c>
    </row>
    <row r="651">
      <c r="A651" s="47" t="inlineStr">
        <is>
          <t>Doruk Hastaneleri</t>
        </is>
      </c>
      <c r="B651" s="47" t="inlineStr">
        <is>
          <t>ABO / Vücut Şekillendirme / plastik cerrahi / lead</t>
        </is>
      </c>
      <c r="C651" s="50" t="inlineStr">
        <is>
          <t>2026-07-14</t>
        </is>
      </c>
      <c r="D651" s="47" t="inlineStr">
        <is>
          <t>Hastane (Kurumsal)</t>
        </is>
      </c>
      <c r="E651" s="47" t="inlineStr">
        <is>
          <t>Lead Toplama (Form)</t>
        </is>
      </c>
      <c r="F651" s="47" t="inlineStr">
        <is>
          <t>Lead - Estetik/Plastik/Saç</t>
        </is>
      </c>
      <c r="G651" s="84" t="n">
        <v>73.8</v>
      </c>
      <c r="H651" s="47" t="inlineStr"/>
      <c r="I651" s="50" t="n">
        <v>0</v>
      </c>
      <c r="J651" s="50" t="n">
        <v>281</v>
      </c>
      <c r="K651" s="50" t="n">
        <v>327</v>
      </c>
    </row>
    <row r="652">
      <c r="A652" s="43" t="inlineStr">
        <is>
          <t>Doruk Hastaneleri</t>
        </is>
      </c>
      <c r="B652" s="43" t="inlineStr">
        <is>
          <t>Baş Dönmesi ve Denge Ünitesi / lead</t>
        </is>
      </c>
      <c r="C652" s="46" t="inlineStr">
        <is>
          <t>2026-07-14</t>
        </is>
      </c>
      <c r="D652" s="43" t="inlineStr">
        <is>
          <t>Hastane (Kurumsal)</t>
        </is>
      </c>
      <c r="E652" s="43" t="inlineStr">
        <is>
          <t>Lead Toplama (Form)</t>
        </is>
      </c>
      <c r="F652" s="43" t="inlineStr">
        <is>
          <t>Lead - Check-up/Tarama</t>
        </is>
      </c>
      <c r="G652" s="83" t="n">
        <v>72.05</v>
      </c>
      <c r="H652" s="43" t="inlineStr">
        <is>
          <t>Potansiyel müşteriler (form)</t>
        </is>
      </c>
      <c r="I652" s="46" t="n">
        <v>1</v>
      </c>
      <c r="J652" s="46" t="n">
        <v>1370</v>
      </c>
      <c r="K652" s="46" t="n">
        <v>1528</v>
      </c>
    </row>
    <row r="653">
      <c r="A653" s="47" t="inlineStr">
        <is>
          <t>Doruk Hastaneleri</t>
        </is>
      </c>
      <c r="B653" s="47" t="inlineStr">
        <is>
          <t>ABO / Göz Kapağı Estetiği / plastik cerrahi / lead</t>
        </is>
      </c>
      <c r="C653" s="50" t="inlineStr">
        <is>
          <t>2026-07-21</t>
        </is>
      </c>
      <c r="D653" s="47" t="inlineStr">
        <is>
          <t>Hastane (Kurumsal)</t>
        </is>
      </c>
      <c r="E653" s="47" t="inlineStr">
        <is>
          <t>Lead Toplama (Form)</t>
        </is>
      </c>
      <c r="F653" s="47" t="inlineStr">
        <is>
          <t>Lead - Estetik/Plastik/Saç</t>
        </is>
      </c>
      <c r="G653" s="84" t="n">
        <v>71.5</v>
      </c>
      <c r="H653" s="47" t="inlineStr">
        <is>
          <t>Potansiyel müşteriler (form)</t>
        </is>
      </c>
      <c r="I653" s="50" t="n">
        <v>1</v>
      </c>
      <c r="J653" s="50" t="n">
        <v>600</v>
      </c>
      <c r="K653" s="50" t="n">
        <v>672</v>
      </c>
    </row>
    <row r="654">
      <c r="A654" s="43" t="inlineStr">
        <is>
          <t>Doruk Hastaneleri</t>
        </is>
      </c>
      <c r="B654" s="43" t="inlineStr">
        <is>
          <t>ABO /Jinekomasti / plastik cerrahi / lead</t>
        </is>
      </c>
      <c r="C654" s="46" t="inlineStr">
        <is>
          <t>2026-07-11</t>
        </is>
      </c>
      <c r="D654" s="43" t="inlineStr">
        <is>
          <t>Hastane (Kurumsal)</t>
        </is>
      </c>
      <c r="E654" s="43" t="inlineStr">
        <is>
          <t>Lead Toplama (Form)</t>
        </is>
      </c>
      <c r="F654" s="43" t="inlineStr">
        <is>
          <t>Lead - Estetik/Plastik/Saç</t>
        </is>
      </c>
      <c r="G654" s="83" t="n">
        <v>71.02</v>
      </c>
      <c r="H654" s="43" t="inlineStr"/>
      <c r="I654" s="46" t="n">
        <v>0</v>
      </c>
      <c r="J654" s="46" t="n">
        <v>769</v>
      </c>
      <c r="K654" s="46" t="n">
        <v>874</v>
      </c>
    </row>
    <row r="655">
      <c r="A655" s="47" t="inlineStr">
        <is>
          <t>Doruk Hastaneleri</t>
        </is>
      </c>
      <c r="B655" s="47" t="inlineStr">
        <is>
          <t>ABO / Yüz Germe (Facelift) / plastik cerrahi / lead</t>
        </is>
      </c>
      <c r="C655" s="50" t="inlineStr">
        <is>
          <t>2026-07-21</t>
        </is>
      </c>
      <c r="D655" s="47" t="inlineStr">
        <is>
          <t>Hastane (Kurumsal)</t>
        </is>
      </c>
      <c r="E655" s="47" t="inlineStr">
        <is>
          <t>Lead Toplama (Form)</t>
        </is>
      </c>
      <c r="F655" s="47" t="inlineStr">
        <is>
          <t>Lead - Estetik/Plastik/Saç</t>
        </is>
      </c>
      <c r="G655" s="84" t="n">
        <v>70</v>
      </c>
      <c r="H655" s="47" t="inlineStr"/>
      <c r="I655" s="50" t="n">
        <v>0</v>
      </c>
      <c r="J655" s="50" t="n">
        <v>152</v>
      </c>
      <c r="K655" s="50" t="n">
        <v>180</v>
      </c>
    </row>
    <row r="656">
      <c r="A656" s="43" t="inlineStr">
        <is>
          <t>Doruk Hastaneleri</t>
        </is>
      </c>
      <c r="B656" s="43" t="inlineStr">
        <is>
          <t>ABO /Kepçe Kulak / plastik cerrahi / lead</t>
        </is>
      </c>
      <c r="C656" s="46" t="inlineStr">
        <is>
          <t>2026-07-21</t>
        </is>
      </c>
      <c r="D656" s="43" t="inlineStr">
        <is>
          <t>Hastane (Kurumsal)</t>
        </is>
      </c>
      <c r="E656" s="43" t="inlineStr">
        <is>
          <t>Lead Toplama (Form)</t>
        </is>
      </c>
      <c r="F656" s="43" t="inlineStr">
        <is>
          <t>Lead - Estetik/Plastik/Saç</t>
        </is>
      </c>
      <c r="G656" s="83" t="n">
        <v>67.25</v>
      </c>
      <c r="H656" s="43" t="inlineStr">
        <is>
          <t>Potansiyel müşteriler (form)</t>
        </is>
      </c>
      <c r="I656" s="46" t="n">
        <v>1</v>
      </c>
      <c r="J656" s="46" t="n">
        <v>1550</v>
      </c>
      <c r="K656" s="46" t="n">
        <v>1660</v>
      </c>
    </row>
    <row r="657">
      <c r="A657" s="47" t="inlineStr">
        <is>
          <t>Doruk Hastaneleri</t>
        </is>
      </c>
      <c r="B657" s="47" t="inlineStr">
        <is>
          <t>ABO / Göz Kapağı Estetiği / plastik cerrahi / lead</t>
        </is>
      </c>
      <c r="C657" s="50" t="inlineStr">
        <is>
          <t>2026-07-14</t>
        </is>
      </c>
      <c r="D657" s="47" t="inlineStr">
        <is>
          <t>Hastane (Kurumsal)</t>
        </is>
      </c>
      <c r="E657" s="47" t="inlineStr">
        <is>
          <t>Lead Toplama (Form)</t>
        </is>
      </c>
      <c r="F657" s="47" t="inlineStr">
        <is>
          <t>Lead - Estetik/Plastik/Saç</t>
        </is>
      </c>
      <c r="G657" s="84" t="n">
        <v>63.84</v>
      </c>
      <c r="H657" s="47" t="inlineStr"/>
      <c r="I657" s="50" t="n">
        <v>0</v>
      </c>
      <c r="J657" s="50" t="n">
        <v>571</v>
      </c>
      <c r="K657" s="50" t="n">
        <v>630</v>
      </c>
    </row>
    <row r="658">
      <c r="A658" s="43" t="inlineStr">
        <is>
          <t>Doruk Hastaneleri</t>
        </is>
      </c>
      <c r="B658" s="43" t="inlineStr">
        <is>
          <t>Prostat Checkup - lead</t>
        </is>
      </c>
      <c r="C658" s="46" t="inlineStr">
        <is>
          <t>2026-07-06</t>
        </is>
      </c>
      <c r="D658" s="43" t="inlineStr">
        <is>
          <t>Hastane (Kurumsal)</t>
        </is>
      </c>
      <c r="E658" s="43" t="inlineStr">
        <is>
          <t>Lead Toplama (Form)</t>
        </is>
      </c>
      <c r="F658" s="43" t="inlineStr">
        <is>
          <t>Lead - Check-up/Tarama</t>
        </is>
      </c>
      <c r="G658" s="83" t="n">
        <v>58.45</v>
      </c>
      <c r="H658" s="43" t="inlineStr">
        <is>
          <t>Potansiyel müşteriler (form)</t>
        </is>
      </c>
      <c r="I658" s="46" t="n">
        <v>1</v>
      </c>
      <c r="J658" s="46" t="n">
        <v>797</v>
      </c>
      <c r="K658" s="46" t="n">
        <v>936</v>
      </c>
    </row>
    <row r="659">
      <c r="A659" s="47" t="inlineStr">
        <is>
          <t>Doruk Hastaneleri</t>
        </is>
      </c>
      <c r="B659" s="47" t="inlineStr">
        <is>
          <t>ABO /Jinekomasti / plastik cerrahi / lead</t>
        </is>
      </c>
      <c r="C659" s="50" t="inlineStr">
        <is>
          <t>2026-07-14</t>
        </is>
      </c>
      <c r="D659" s="47" t="inlineStr">
        <is>
          <t>Hastane (Kurumsal)</t>
        </is>
      </c>
      <c r="E659" s="47" t="inlineStr">
        <is>
          <t>Lead Toplama (Form)</t>
        </is>
      </c>
      <c r="F659" s="47" t="inlineStr">
        <is>
          <t>Lead - Estetik/Plastik/Saç</t>
        </is>
      </c>
      <c r="G659" s="84" t="n">
        <v>57.97</v>
      </c>
      <c r="H659" s="47" t="inlineStr"/>
      <c r="I659" s="50" t="n">
        <v>0</v>
      </c>
      <c r="J659" s="50" t="n">
        <v>662</v>
      </c>
      <c r="K659" s="50" t="n">
        <v>739</v>
      </c>
    </row>
    <row r="660">
      <c r="A660" s="43" t="inlineStr">
        <is>
          <t>Doruk Hastaneleri</t>
        </is>
      </c>
      <c r="B660" s="43" t="inlineStr">
        <is>
          <t>ABO / Yüz Germe (Facelift) / plastik cerrahi / lead</t>
        </is>
      </c>
      <c r="C660" s="46" t="inlineStr">
        <is>
          <t>2026-07-11</t>
        </is>
      </c>
      <c r="D660" s="43" t="inlineStr">
        <is>
          <t>Hastane (Kurumsal)</t>
        </is>
      </c>
      <c r="E660" s="43" t="inlineStr">
        <is>
          <t>Lead Toplama (Form)</t>
        </is>
      </c>
      <c r="F660" s="43" t="inlineStr">
        <is>
          <t>Lead - Estetik/Plastik/Saç</t>
        </is>
      </c>
      <c r="G660" s="83" t="n">
        <v>56.7</v>
      </c>
      <c r="H660" s="43" t="inlineStr"/>
      <c r="I660" s="46" t="n">
        <v>0</v>
      </c>
      <c r="J660" s="46" t="n">
        <v>144</v>
      </c>
      <c r="K660" s="46" t="n">
        <v>161</v>
      </c>
    </row>
    <row r="661">
      <c r="A661" s="47" t="inlineStr">
        <is>
          <t>Doruk Hastaneleri</t>
        </is>
      </c>
      <c r="B661" s="47" t="inlineStr">
        <is>
          <t>Baş Dönmesi ve Denge Ünitesi / lead</t>
        </is>
      </c>
      <c r="C661" s="50" t="inlineStr">
        <is>
          <t>2026-07-06</t>
        </is>
      </c>
      <c r="D661" s="47" t="inlineStr">
        <is>
          <t>Hastane (Kurumsal)</t>
        </is>
      </c>
      <c r="E661" s="47" t="inlineStr">
        <is>
          <t>Lead Toplama (Form)</t>
        </is>
      </c>
      <c r="F661" s="47" t="inlineStr">
        <is>
          <t>Lead - Check-up/Tarama</t>
        </is>
      </c>
      <c r="G661" s="84" t="n">
        <v>55.85</v>
      </c>
      <c r="H661" s="47" t="inlineStr"/>
      <c r="I661" s="50" t="n">
        <v>0</v>
      </c>
      <c r="J661" s="50" t="n">
        <v>1145</v>
      </c>
      <c r="K661" s="50" t="n">
        <v>1278</v>
      </c>
    </row>
    <row r="662">
      <c r="A662" s="43" t="inlineStr">
        <is>
          <t>Doruk Hastaneleri</t>
        </is>
      </c>
      <c r="B662" s="43" t="inlineStr">
        <is>
          <t>ABO / Göz Kapağı Estetiği / plastik cerrahi / lead</t>
        </is>
      </c>
      <c r="C662" s="46" t="inlineStr">
        <is>
          <t>2026-07-06</t>
        </is>
      </c>
      <c r="D662" s="43" t="inlineStr">
        <is>
          <t>Hastane (Kurumsal)</t>
        </is>
      </c>
      <c r="E662" s="43" t="inlineStr">
        <is>
          <t>Lead Toplama (Form)</t>
        </is>
      </c>
      <c r="F662" s="43" t="inlineStr">
        <is>
          <t>Lead - Estetik/Plastik/Saç</t>
        </is>
      </c>
      <c r="G662" s="83" t="n">
        <v>55.21</v>
      </c>
      <c r="H662" s="43" t="inlineStr"/>
      <c r="I662" s="46" t="n">
        <v>0</v>
      </c>
      <c r="J662" s="46" t="n">
        <v>424</v>
      </c>
      <c r="K662" s="46" t="n">
        <v>505</v>
      </c>
    </row>
    <row r="663">
      <c r="A663" s="47" t="inlineStr">
        <is>
          <t>Doruk Hastaneleri</t>
        </is>
      </c>
      <c r="B663" s="47" t="inlineStr">
        <is>
          <t>Prostat Checkup - lead</t>
        </is>
      </c>
      <c r="C663" s="50" t="inlineStr">
        <is>
          <t>2026-07-14</t>
        </is>
      </c>
      <c r="D663" s="47" t="inlineStr">
        <is>
          <t>Hastane (Kurumsal)</t>
        </is>
      </c>
      <c r="E663" s="47" t="inlineStr">
        <is>
          <t>Lead Toplama (Form)</t>
        </is>
      </c>
      <c r="F663" s="47" t="inlineStr">
        <is>
          <t>Lead - Check-up/Tarama</t>
        </is>
      </c>
      <c r="G663" s="84" t="n">
        <v>54.75</v>
      </c>
      <c r="H663" s="47" t="inlineStr"/>
      <c r="I663" s="50" t="n">
        <v>0</v>
      </c>
      <c r="J663" s="50" t="n">
        <v>716</v>
      </c>
      <c r="K663" s="50" t="n">
        <v>766</v>
      </c>
    </row>
    <row r="664">
      <c r="A664" s="43" t="inlineStr">
        <is>
          <t>Doruk Hastaneleri</t>
        </is>
      </c>
      <c r="B664" s="43" t="inlineStr">
        <is>
          <t>ABO / Vücut Şekillendirme / plastik cerrahi / lead</t>
        </is>
      </c>
      <c r="C664" s="46" t="inlineStr">
        <is>
          <t>2026-07-06</t>
        </is>
      </c>
      <c r="D664" s="43" t="inlineStr">
        <is>
          <t>Hastane (Kurumsal)</t>
        </is>
      </c>
      <c r="E664" s="43" t="inlineStr">
        <is>
          <t>Lead Toplama (Form)</t>
        </is>
      </c>
      <c r="F664" s="43" t="inlineStr">
        <is>
          <t>Lead - Estetik/Plastik/Saç</t>
        </is>
      </c>
      <c r="G664" s="83" t="n">
        <v>53.43</v>
      </c>
      <c r="H664" s="43" t="inlineStr"/>
      <c r="I664" s="46" t="n">
        <v>0</v>
      </c>
      <c r="J664" s="46" t="n">
        <v>114</v>
      </c>
      <c r="K664" s="46" t="n">
        <v>170</v>
      </c>
    </row>
    <row r="665">
      <c r="A665" s="47" t="inlineStr">
        <is>
          <t>Doruk Hastaneleri</t>
        </is>
      </c>
      <c r="B665" s="47" t="inlineStr">
        <is>
          <t>ABO / Yüz Germe (Facelift) / plastik cerrahi / lead</t>
        </is>
      </c>
      <c r="C665" s="50" t="inlineStr">
        <is>
          <t>2026-07-06</t>
        </is>
      </c>
      <c r="D665" s="47" t="inlineStr">
        <is>
          <t>Hastane (Kurumsal)</t>
        </is>
      </c>
      <c r="E665" s="47" t="inlineStr">
        <is>
          <t>Lead Toplama (Form)</t>
        </is>
      </c>
      <c r="F665" s="47" t="inlineStr">
        <is>
          <t>Lead - Estetik/Plastik/Saç</t>
        </is>
      </c>
      <c r="G665" s="84" t="n">
        <v>47.7</v>
      </c>
      <c r="H665" s="47" t="inlineStr"/>
      <c r="I665" s="50" t="n">
        <v>0</v>
      </c>
      <c r="J665" s="50" t="n">
        <v>116</v>
      </c>
      <c r="K665" s="50" t="n">
        <v>139</v>
      </c>
    </row>
    <row r="666">
      <c r="A666" s="43" t="inlineStr">
        <is>
          <t>Doruk Hastaneleri</t>
        </is>
      </c>
      <c r="B666" s="43" t="inlineStr">
        <is>
          <t>ABO /Jinekomasti / plastik cerrahi / lead</t>
        </is>
      </c>
      <c r="C666" s="46" t="inlineStr">
        <is>
          <t>2026-07-06</t>
        </is>
      </c>
      <c r="D666" s="43" t="inlineStr">
        <is>
          <t>Hastane (Kurumsal)</t>
        </is>
      </c>
      <c r="E666" s="43" t="inlineStr">
        <is>
          <t>Lead Toplama (Form)</t>
        </is>
      </c>
      <c r="F666" s="43" t="inlineStr">
        <is>
          <t>Lead - Estetik/Plastik/Saç</t>
        </is>
      </c>
      <c r="G666" s="83" t="n">
        <v>45.42</v>
      </c>
      <c r="H666" s="43" t="inlineStr"/>
      <c r="I666" s="46" t="n">
        <v>0</v>
      </c>
      <c r="J666" s="46" t="n">
        <v>272</v>
      </c>
      <c r="K666" s="46" t="n">
        <v>362</v>
      </c>
    </row>
    <row r="667">
      <c r="A667" s="47" t="inlineStr">
        <is>
          <t>Doruk Hastaneleri</t>
        </is>
      </c>
      <c r="B667" s="47" t="inlineStr">
        <is>
          <t>ABO /Kepçe Kulak / plastik cerrahi / lead</t>
        </is>
      </c>
      <c r="C667" s="50" t="inlineStr">
        <is>
          <t>2026-07-06</t>
        </is>
      </c>
      <c r="D667" s="47" t="inlineStr">
        <is>
          <t>Hastane (Kurumsal)</t>
        </is>
      </c>
      <c r="E667" s="47" t="inlineStr">
        <is>
          <t>Lead Toplama (Form)</t>
        </is>
      </c>
      <c r="F667" s="47" t="inlineStr">
        <is>
          <t>Lead - Estetik/Plastik/Saç</t>
        </is>
      </c>
      <c r="G667" s="84" t="n">
        <v>42.7</v>
      </c>
      <c r="H667" s="47" t="inlineStr"/>
      <c r="I667" s="50" t="n">
        <v>0</v>
      </c>
      <c r="J667" s="50" t="n">
        <v>945</v>
      </c>
      <c r="K667" s="50" t="n">
        <v>1018</v>
      </c>
    </row>
    <row r="668">
      <c r="A668" s="43" t="inlineStr">
        <is>
          <t>Doruk Hastaneleri</t>
        </is>
      </c>
      <c r="B668" s="43" t="inlineStr">
        <is>
          <t>Doktor - Bilinirlik Kampanyası - Nilüfer</t>
        </is>
      </c>
      <c r="C668" s="46" t="inlineStr">
        <is>
          <t>2026-06-27</t>
        </is>
      </c>
      <c r="D668" s="43" t="inlineStr">
        <is>
          <t>Hastane (Kurumsal)</t>
        </is>
      </c>
      <c r="E668" s="43" t="inlineStr">
        <is>
          <t>Marka Bilinirliği (Erişim)</t>
        </is>
      </c>
      <c r="F668" s="43" t="inlineStr">
        <is>
          <t>Bilinirlik - Doktor Tanıtım</t>
        </is>
      </c>
      <c r="G668" s="83" t="n">
        <v>9323.719999999999</v>
      </c>
      <c r="H668" s="43" t="inlineStr">
        <is>
          <t>Erişim</t>
        </is>
      </c>
      <c r="I668" s="46" t="n">
        <v>606223</v>
      </c>
      <c r="J668" s="46" t="n">
        <v>606223</v>
      </c>
      <c r="K668" s="46" t="n">
        <v>704382</v>
      </c>
    </row>
    <row r="669">
      <c r="A669" s="47" t="inlineStr">
        <is>
          <t>Doruk Hastaneleri</t>
        </is>
      </c>
      <c r="B669" s="47" t="inlineStr">
        <is>
          <t>Doktor - Bilinirlik Kampanyası - Nilüfer</t>
        </is>
      </c>
      <c r="C669" s="50" t="inlineStr">
        <is>
          <t>2026-06-26</t>
        </is>
      </c>
      <c r="D669" s="47" t="inlineStr">
        <is>
          <t>Hastane (Kurumsal)</t>
        </is>
      </c>
      <c r="E669" s="47" t="inlineStr">
        <is>
          <t>Marka Bilinirliği (Erişim)</t>
        </is>
      </c>
      <c r="F669" s="47" t="inlineStr">
        <is>
          <t>Bilinirlik - Doktor Tanıtım</t>
        </is>
      </c>
      <c r="G669" s="84" t="n">
        <v>9066.52</v>
      </c>
      <c r="H669" s="47" t="inlineStr">
        <is>
          <t>Erişim</t>
        </is>
      </c>
      <c r="I669" s="50" t="n">
        <v>630045</v>
      </c>
      <c r="J669" s="50" t="n">
        <v>630045</v>
      </c>
      <c r="K669" s="50" t="n">
        <v>715195</v>
      </c>
    </row>
    <row r="670">
      <c r="A670" s="43" t="inlineStr">
        <is>
          <t>Doruk Hastaneleri</t>
        </is>
      </c>
      <c r="B670" s="43" t="inlineStr">
        <is>
          <t>Doktor - Bilinirlik Kampanyası - Nilüfer</t>
        </is>
      </c>
      <c r="C670" s="46" t="inlineStr">
        <is>
          <t>2026-07-18</t>
        </is>
      </c>
      <c r="D670" s="43" t="inlineStr">
        <is>
          <t>Hastane (Kurumsal)</t>
        </is>
      </c>
      <c r="E670" s="43" t="inlineStr">
        <is>
          <t>Marka Bilinirliği (Erişim)</t>
        </is>
      </c>
      <c r="F670" s="43" t="inlineStr">
        <is>
          <t>Bilinirlik - Doktor Tanıtım</t>
        </is>
      </c>
      <c r="G670" s="83" t="n">
        <v>9012.73</v>
      </c>
      <c r="H670" s="43" t="inlineStr">
        <is>
          <t>Erişim</t>
        </is>
      </c>
      <c r="I670" s="46" t="n">
        <v>789106</v>
      </c>
      <c r="J670" s="46" t="n">
        <v>789106</v>
      </c>
      <c r="K670" s="46" t="n">
        <v>954858</v>
      </c>
    </row>
    <row r="671">
      <c r="A671" s="47" t="inlineStr">
        <is>
          <t>Doruk Hastaneleri</t>
        </is>
      </c>
      <c r="B671" s="47" t="inlineStr">
        <is>
          <t>Doktor - Bilinirlik Kampanyası - Nilüfer</t>
        </is>
      </c>
      <c r="C671" s="50" t="inlineStr">
        <is>
          <t>2026-07-10</t>
        </is>
      </c>
      <c r="D671" s="47" t="inlineStr">
        <is>
          <t>Hastane (Kurumsal)</t>
        </is>
      </c>
      <c r="E671" s="47" t="inlineStr">
        <is>
          <t>Marka Bilinirliği (Erişim)</t>
        </is>
      </c>
      <c r="F671" s="47" t="inlineStr">
        <is>
          <t>Bilinirlik - Doktor Tanıtım</t>
        </is>
      </c>
      <c r="G671" s="84" t="n">
        <v>8745.52</v>
      </c>
      <c r="H671" s="47" t="inlineStr">
        <is>
          <t>Erişim</t>
        </is>
      </c>
      <c r="I671" s="50" t="n">
        <v>811299</v>
      </c>
      <c r="J671" s="50" t="n">
        <v>811299</v>
      </c>
      <c r="K671" s="50" t="n">
        <v>983831</v>
      </c>
    </row>
    <row r="672">
      <c r="A672" s="43" t="inlineStr">
        <is>
          <t>Doruk Hastaneleri</t>
        </is>
      </c>
      <c r="B672" s="43" t="inlineStr">
        <is>
          <t>Doktor - Bilinirlik Kampanyası - Nilüfer</t>
        </is>
      </c>
      <c r="C672" s="46" t="inlineStr">
        <is>
          <t>2026-07-08</t>
        </is>
      </c>
      <c r="D672" s="43" t="inlineStr">
        <is>
          <t>Hastane (Kurumsal)</t>
        </is>
      </c>
      <c r="E672" s="43" t="inlineStr">
        <is>
          <t>Marka Bilinirliği (Erişim)</t>
        </is>
      </c>
      <c r="F672" s="43" t="inlineStr">
        <is>
          <t>Bilinirlik - Doktor Tanıtım</t>
        </is>
      </c>
      <c r="G672" s="83" t="n">
        <v>7625.57</v>
      </c>
      <c r="H672" s="43" t="inlineStr">
        <is>
          <t>Erişim</t>
        </is>
      </c>
      <c r="I672" s="46" t="n">
        <v>711987</v>
      </c>
      <c r="J672" s="46" t="n">
        <v>711987</v>
      </c>
      <c r="K672" s="46" t="n">
        <v>866738</v>
      </c>
    </row>
    <row r="673">
      <c r="A673" s="47" t="inlineStr">
        <is>
          <t>Doruk Hastaneleri</t>
        </is>
      </c>
      <c r="B673" s="47" t="inlineStr">
        <is>
          <t>Doktor - Bilinirlik Kampanyası - Nilüfer</t>
        </is>
      </c>
      <c r="C673" s="50" t="inlineStr">
        <is>
          <t>2026-07-16</t>
        </is>
      </c>
      <c r="D673" s="47" t="inlineStr">
        <is>
          <t>Hastane (Kurumsal)</t>
        </is>
      </c>
      <c r="E673" s="47" t="inlineStr">
        <is>
          <t>Marka Bilinirliği (Erişim)</t>
        </is>
      </c>
      <c r="F673" s="47" t="inlineStr">
        <is>
          <t>Bilinirlik - Doktor Tanıtım</t>
        </is>
      </c>
      <c r="G673" s="84" t="n">
        <v>7564.69</v>
      </c>
      <c r="H673" s="47" t="inlineStr">
        <is>
          <t>Erişim</t>
        </is>
      </c>
      <c r="I673" s="50" t="n">
        <v>695923</v>
      </c>
      <c r="J673" s="50" t="n">
        <v>695923</v>
      </c>
      <c r="K673" s="50" t="n">
        <v>857400</v>
      </c>
    </row>
    <row r="674">
      <c r="A674" s="43" t="inlineStr">
        <is>
          <t>Doruk Hastaneleri</t>
        </is>
      </c>
      <c r="B674" s="43" t="inlineStr">
        <is>
          <t>Doktor - Bilinirlik Kampanyası - Nilüfer</t>
        </is>
      </c>
      <c r="C674" s="46" t="inlineStr">
        <is>
          <t>2026-06-23</t>
        </is>
      </c>
      <c r="D674" s="43" t="inlineStr">
        <is>
          <t>Hastane (Kurumsal)</t>
        </is>
      </c>
      <c r="E674" s="43" t="inlineStr">
        <is>
          <t>Marka Bilinirliği (Erişim)</t>
        </is>
      </c>
      <c r="F674" s="43" t="inlineStr">
        <is>
          <t>Bilinirlik - Doktor Tanıtım</t>
        </is>
      </c>
      <c r="G674" s="83" t="n">
        <v>6637.97</v>
      </c>
      <c r="H674" s="43" t="inlineStr">
        <is>
          <t>Erişim</t>
        </is>
      </c>
      <c r="I674" s="46" t="n">
        <v>482661</v>
      </c>
      <c r="J674" s="46" t="n">
        <v>482661</v>
      </c>
      <c r="K674" s="46" t="n">
        <v>557575</v>
      </c>
    </row>
    <row r="675">
      <c r="A675" s="47" t="inlineStr">
        <is>
          <t>Doruk Hastaneleri</t>
        </is>
      </c>
      <c r="B675" s="47" t="inlineStr">
        <is>
          <t>Doktor - Bilinirlik Kampanyası - Nilüfer</t>
        </is>
      </c>
      <c r="C675" s="50" t="inlineStr">
        <is>
          <t>2026-07-01</t>
        </is>
      </c>
      <c r="D675" s="47" t="inlineStr">
        <is>
          <t>Hastane (Kurumsal)</t>
        </is>
      </c>
      <c r="E675" s="47" t="inlineStr">
        <is>
          <t>Marka Bilinirliği (Erişim)</t>
        </is>
      </c>
      <c r="F675" s="47" t="inlineStr">
        <is>
          <t>Bilinirlik - Doktor Tanıtım</t>
        </is>
      </c>
      <c r="G675" s="84" t="n">
        <v>6523.32</v>
      </c>
      <c r="H675" s="47" t="inlineStr">
        <is>
          <t>Erişim</t>
        </is>
      </c>
      <c r="I675" s="50" t="n">
        <v>523012</v>
      </c>
      <c r="J675" s="50" t="n">
        <v>523012</v>
      </c>
      <c r="K675" s="50" t="n">
        <v>692325</v>
      </c>
    </row>
    <row r="676">
      <c r="A676" s="43" t="inlineStr">
        <is>
          <t>Doruk Hastaneleri</t>
        </is>
      </c>
      <c r="B676" s="43" t="inlineStr">
        <is>
          <t>Doktor - Bilinirlik Kampanyası - Nilüfer</t>
        </is>
      </c>
      <c r="C676" s="46" t="inlineStr">
        <is>
          <t>2026-07-15</t>
        </is>
      </c>
      <c r="D676" s="43" t="inlineStr">
        <is>
          <t>Hastane (Kurumsal)</t>
        </is>
      </c>
      <c r="E676" s="43" t="inlineStr">
        <is>
          <t>Marka Bilinirliği (Erişim)</t>
        </is>
      </c>
      <c r="F676" s="43" t="inlineStr">
        <is>
          <t>Bilinirlik - Doktor Tanıtım</t>
        </is>
      </c>
      <c r="G676" s="83" t="n">
        <v>6503.7</v>
      </c>
      <c r="H676" s="43" t="inlineStr">
        <is>
          <t>Erişim</t>
        </is>
      </c>
      <c r="I676" s="46" t="n">
        <v>631585</v>
      </c>
      <c r="J676" s="46" t="n">
        <v>631585</v>
      </c>
      <c r="K676" s="46" t="n">
        <v>767498</v>
      </c>
    </row>
    <row r="677">
      <c r="A677" s="47" t="inlineStr">
        <is>
          <t>Doruk Hastaneleri</t>
        </is>
      </c>
      <c r="B677" s="47" t="inlineStr">
        <is>
          <t>Doktor - Bilinirlik Kampanyası - Nilüfer</t>
        </is>
      </c>
      <c r="C677" s="50" t="inlineStr">
        <is>
          <t>2026-06-28</t>
        </is>
      </c>
      <c r="D677" s="47" t="inlineStr">
        <is>
          <t>Hastane (Kurumsal)</t>
        </is>
      </c>
      <c r="E677" s="47" t="inlineStr">
        <is>
          <t>Marka Bilinirliği (Erişim)</t>
        </is>
      </c>
      <c r="F677" s="47" t="inlineStr">
        <is>
          <t>Bilinirlik - Doktor Tanıtım</t>
        </is>
      </c>
      <c r="G677" s="84" t="n">
        <v>5888.94</v>
      </c>
      <c r="H677" s="47" t="inlineStr">
        <is>
          <t>Erişim</t>
        </is>
      </c>
      <c r="I677" s="50" t="n">
        <v>363634</v>
      </c>
      <c r="J677" s="50" t="n">
        <v>363634</v>
      </c>
      <c r="K677" s="50" t="n">
        <v>469379</v>
      </c>
    </row>
    <row r="678">
      <c r="A678" s="43" t="inlineStr">
        <is>
          <t>Doruk Hastaneleri</t>
        </is>
      </c>
      <c r="B678" s="43" t="inlineStr">
        <is>
          <t>Doktor - Bilinirlik Kampanyası - Nilüfer</t>
        </is>
      </c>
      <c r="C678" s="46" t="inlineStr">
        <is>
          <t>2026-07-02</t>
        </is>
      </c>
      <c r="D678" s="43" t="inlineStr">
        <is>
          <t>Hastane (Kurumsal)</t>
        </is>
      </c>
      <c r="E678" s="43" t="inlineStr">
        <is>
          <t>Marka Bilinirliği (Erişim)</t>
        </is>
      </c>
      <c r="F678" s="43" t="inlineStr">
        <is>
          <t>Bilinirlik - Doktor Tanıtım</t>
        </is>
      </c>
      <c r="G678" s="83" t="n">
        <v>5429.68</v>
      </c>
      <c r="H678" s="43" t="inlineStr">
        <is>
          <t>Erişim</t>
        </is>
      </c>
      <c r="I678" s="46" t="n">
        <v>476962</v>
      </c>
      <c r="J678" s="46" t="n">
        <v>476962</v>
      </c>
      <c r="K678" s="46" t="n">
        <v>635100</v>
      </c>
    </row>
    <row r="679">
      <c r="A679" s="47" t="inlineStr">
        <is>
          <t>Doruk Hastaneleri</t>
        </is>
      </c>
      <c r="B679" s="47" t="inlineStr">
        <is>
          <t>Doktor - Bilinirlik Kampanyası - Nilüfer</t>
        </is>
      </c>
      <c r="C679" s="50" t="inlineStr">
        <is>
          <t>2026-06-30</t>
        </is>
      </c>
      <c r="D679" s="47" t="inlineStr">
        <is>
          <t>Hastane (Kurumsal)</t>
        </is>
      </c>
      <c r="E679" s="47" t="inlineStr">
        <is>
          <t>Marka Bilinirliği (Erişim)</t>
        </is>
      </c>
      <c r="F679" s="47" t="inlineStr">
        <is>
          <t>Bilinirlik - Doktor Tanıtım</t>
        </is>
      </c>
      <c r="G679" s="84" t="n">
        <v>5210.7</v>
      </c>
      <c r="H679" s="47" t="inlineStr">
        <is>
          <t>Erişim</t>
        </is>
      </c>
      <c r="I679" s="50" t="n">
        <v>348248</v>
      </c>
      <c r="J679" s="50" t="n">
        <v>348248</v>
      </c>
      <c r="K679" s="50" t="n">
        <v>429490</v>
      </c>
    </row>
    <row r="680">
      <c r="A680" s="43" t="inlineStr">
        <is>
          <t>Doruk Hastaneleri</t>
        </is>
      </c>
      <c r="B680" s="43" t="inlineStr">
        <is>
          <t>Doktor - Bilinirlik Kampanyası - Nilüfer</t>
        </is>
      </c>
      <c r="C680" s="46" t="inlineStr">
        <is>
          <t>2026-07-03</t>
        </is>
      </c>
      <c r="D680" s="43" t="inlineStr">
        <is>
          <t>Hastane (Kurumsal)</t>
        </is>
      </c>
      <c r="E680" s="43" t="inlineStr">
        <is>
          <t>Marka Bilinirliği (Erişim)</t>
        </is>
      </c>
      <c r="F680" s="43" t="inlineStr">
        <is>
          <t>Bilinirlik - Doktor Tanıtım</t>
        </is>
      </c>
      <c r="G680" s="83" t="n">
        <v>5186.35</v>
      </c>
      <c r="H680" s="43" t="inlineStr">
        <is>
          <t>Erişim</t>
        </is>
      </c>
      <c r="I680" s="46" t="n">
        <v>482836</v>
      </c>
      <c r="J680" s="46" t="n">
        <v>482836</v>
      </c>
      <c r="K680" s="46" t="n">
        <v>613564</v>
      </c>
    </row>
    <row r="681">
      <c r="A681" s="47" t="inlineStr">
        <is>
          <t>Doruk Hastaneleri</t>
        </is>
      </c>
      <c r="B681" s="47" t="inlineStr">
        <is>
          <t>Doktor - Bilinirlik Kampanyası - Nilüfer</t>
        </is>
      </c>
      <c r="C681" s="50" t="inlineStr">
        <is>
          <t>2026-07-13</t>
        </is>
      </c>
      <c r="D681" s="47" t="inlineStr">
        <is>
          <t>Hastane (Kurumsal)</t>
        </is>
      </c>
      <c r="E681" s="47" t="inlineStr">
        <is>
          <t>Marka Bilinirliği (Erişim)</t>
        </is>
      </c>
      <c r="F681" s="47" t="inlineStr">
        <is>
          <t>Bilinirlik - Doktor Tanıtım</t>
        </is>
      </c>
      <c r="G681" s="84" t="n">
        <v>5036.82</v>
      </c>
      <c r="H681" s="47" t="inlineStr">
        <is>
          <t>Erişim</t>
        </is>
      </c>
      <c r="I681" s="50" t="n">
        <v>491054</v>
      </c>
      <c r="J681" s="50" t="n">
        <v>491054</v>
      </c>
      <c r="K681" s="50" t="n">
        <v>595264</v>
      </c>
    </row>
    <row r="682">
      <c r="A682" s="43" t="inlineStr">
        <is>
          <t>Doruk Hastaneleri</t>
        </is>
      </c>
      <c r="B682" s="43" t="inlineStr">
        <is>
          <t>Doktor - Bilinirlik Kampanyası - Nilüfer</t>
        </is>
      </c>
      <c r="C682" s="46" t="inlineStr">
        <is>
          <t>2026-07-20</t>
        </is>
      </c>
      <c r="D682" s="43" t="inlineStr">
        <is>
          <t>Hastane (Kurumsal)</t>
        </is>
      </c>
      <c r="E682" s="43" t="inlineStr">
        <is>
          <t>Marka Bilinirliği (Erişim)</t>
        </is>
      </c>
      <c r="F682" s="43" t="inlineStr">
        <is>
          <t>Bilinirlik - Doktor Tanıtım</t>
        </is>
      </c>
      <c r="G682" s="83" t="n">
        <v>4955.58</v>
      </c>
      <c r="H682" s="43" t="inlineStr">
        <is>
          <t>Erişim</t>
        </is>
      </c>
      <c r="I682" s="46" t="n">
        <v>504236</v>
      </c>
      <c r="J682" s="46" t="n">
        <v>504236</v>
      </c>
      <c r="K682" s="46" t="n">
        <v>562716</v>
      </c>
    </row>
    <row r="683">
      <c r="A683" s="47" t="inlineStr">
        <is>
          <t>Doruk Hastaneleri</t>
        </is>
      </c>
      <c r="B683" s="47" t="inlineStr">
        <is>
          <t>Doktor - Bilinirlik Kampanyası - Nilüfer</t>
        </is>
      </c>
      <c r="C683" s="50" t="inlineStr">
        <is>
          <t>2026-06-29</t>
        </is>
      </c>
      <c r="D683" s="47" t="inlineStr">
        <is>
          <t>Hastane (Kurumsal)</t>
        </is>
      </c>
      <c r="E683" s="47" t="inlineStr">
        <is>
          <t>Marka Bilinirliği (Erişim)</t>
        </is>
      </c>
      <c r="F683" s="47" t="inlineStr">
        <is>
          <t>Bilinirlik - Doktor Tanıtım</t>
        </is>
      </c>
      <c r="G683" s="84" t="n">
        <v>4786.77</v>
      </c>
      <c r="H683" s="47" t="inlineStr">
        <is>
          <t>Erişim</t>
        </is>
      </c>
      <c r="I683" s="50" t="n">
        <v>317645</v>
      </c>
      <c r="J683" s="50" t="n">
        <v>317645</v>
      </c>
      <c r="K683" s="50" t="n">
        <v>389996</v>
      </c>
    </row>
    <row r="684">
      <c r="A684" s="43" t="inlineStr">
        <is>
          <t>Doruk Hastaneleri</t>
        </is>
      </c>
      <c r="B684" s="43" t="inlineStr">
        <is>
          <t>Doktor - Bilinirlik Kampanyası - Nilüfer</t>
        </is>
      </c>
      <c r="C684" s="46" t="inlineStr">
        <is>
          <t>2026-07-04</t>
        </is>
      </c>
      <c r="D684" s="43" t="inlineStr">
        <is>
          <t>Hastane (Kurumsal)</t>
        </is>
      </c>
      <c r="E684" s="43" t="inlineStr">
        <is>
          <t>Marka Bilinirliği (Erişim)</t>
        </is>
      </c>
      <c r="F684" s="43" t="inlineStr">
        <is>
          <t>Bilinirlik - Doktor Tanıtım</t>
        </is>
      </c>
      <c r="G684" s="83" t="n">
        <v>4769.89</v>
      </c>
      <c r="H684" s="43" t="inlineStr">
        <is>
          <t>Erişim</t>
        </is>
      </c>
      <c r="I684" s="46" t="n">
        <v>454040</v>
      </c>
      <c r="J684" s="46" t="n">
        <v>454040</v>
      </c>
      <c r="K684" s="46" t="n">
        <v>543834</v>
      </c>
    </row>
    <row r="685">
      <c r="A685" s="47" t="inlineStr">
        <is>
          <t>Doruk Hastaneleri</t>
        </is>
      </c>
      <c r="B685" s="47" t="inlineStr">
        <is>
          <t>Doktor - Bilinirlik Kampanyası - Nilüfer</t>
        </is>
      </c>
      <c r="C685" s="50" t="inlineStr">
        <is>
          <t>2026-07-17</t>
        </is>
      </c>
      <c r="D685" s="47" t="inlineStr">
        <is>
          <t>Hastane (Kurumsal)</t>
        </is>
      </c>
      <c r="E685" s="47" t="inlineStr">
        <is>
          <t>Marka Bilinirliği (Erişim)</t>
        </is>
      </c>
      <c r="F685" s="47" t="inlineStr">
        <is>
          <t>Bilinirlik - Doktor Tanıtım</t>
        </is>
      </c>
      <c r="G685" s="84" t="n">
        <v>4285.7</v>
      </c>
      <c r="H685" s="47" t="inlineStr">
        <is>
          <t>Erişim</t>
        </is>
      </c>
      <c r="I685" s="50" t="n">
        <v>411134</v>
      </c>
      <c r="J685" s="50" t="n">
        <v>411134</v>
      </c>
      <c r="K685" s="50" t="n">
        <v>475633</v>
      </c>
    </row>
    <row r="686">
      <c r="A686" s="43" t="inlineStr">
        <is>
          <t>Doruk Hastaneleri</t>
        </is>
      </c>
      <c r="B686" s="43" t="inlineStr">
        <is>
          <t>Doktor - Bilinirlik Kampanyası - Yıldırım</t>
        </is>
      </c>
      <c r="C686" s="46" t="inlineStr">
        <is>
          <t>2026-07-18</t>
        </is>
      </c>
      <c r="D686" s="43" t="inlineStr">
        <is>
          <t>Hastane (Kurumsal)</t>
        </is>
      </c>
      <c r="E686" s="43" t="inlineStr">
        <is>
          <t>Marka Bilinirliği (Erişim)</t>
        </is>
      </c>
      <c r="F686" s="43" t="inlineStr">
        <is>
          <t>Bilinirlik - Doktor Tanıtım</t>
        </is>
      </c>
      <c r="G686" s="83" t="n">
        <v>4021.96</v>
      </c>
      <c r="H686" s="43" t="inlineStr">
        <is>
          <t>Erişim</t>
        </is>
      </c>
      <c r="I686" s="46" t="n">
        <v>370698</v>
      </c>
      <c r="J686" s="46" t="n">
        <v>370698</v>
      </c>
      <c r="K686" s="46" t="n">
        <v>427075</v>
      </c>
    </row>
    <row r="687">
      <c r="A687" s="47" t="inlineStr">
        <is>
          <t>Doruk Hastaneleri</t>
        </is>
      </c>
      <c r="B687" s="47" t="inlineStr">
        <is>
          <t>Doktor - Bilinirlik Kampanyası - Nilüfer</t>
        </is>
      </c>
      <c r="C687" s="50" t="inlineStr">
        <is>
          <t>2026-06-24</t>
        </is>
      </c>
      <c r="D687" s="47" t="inlineStr">
        <is>
          <t>Hastane (Kurumsal)</t>
        </is>
      </c>
      <c r="E687" s="47" t="inlineStr">
        <is>
          <t>Marka Bilinirliği (Erişim)</t>
        </is>
      </c>
      <c r="F687" s="47" t="inlineStr">
        <is>
          <t>Bilinirlik - Doktor Tanıtım</t>
        </is>
      </c>
      <c r="G687" s="84" t="n">
        <v>3792.25</v>
      </c>
      <c r="H687" s="47" t="inlineStr">
        <is>
          <t>Erişim</t>
        </is>
      </c>
      <c r="I687" s="50" t="n">
        <v>282193</v>
      </c>
      <c r="J687" s="50" t="n">
        <v>282193</v>
      </c>
      <c r="K687" s="50" t="n">
        <v>311981</v>
      </c>
    </row>
    <row r="688">
      <c r="A688" s="43" t="inlineStr">
        <is>
          <t>Doruk Hastaneleri</t>
        </is>
      </c>
      <c r="B688" s="43" t="inlineStr">
        <is>
          <t>ÖSS-TSS - marka bilinirliği</t>
        </is>
      </c>
      <c r="C688" s="46" t="inlineStr">
        <is>
          <t>2026-06-27</t>
        </is>
      </c>
      <c r="D688" s="43" t="inlineStr">
        <is>
          <t>Hastane (Kurumsal)</t>
        </is>
      </c>
      <c r="E688" s="43" t="inlineStr">
        <is>
          <t>Marka Bilinirliği (Erişim)</t>
        </is>
      </c>
      <c r="F688" s="43" t="inlineStr">
        <is>
          <t>Bilinirlik - Kurumsal (ÖSS-TSS)</t>
        </is>
      </c>
      <c r="G688" s="83" t="n">
        <v>3446.44</v>
      </c>
      <c r="H688" s="43" t="inlineStr">
        <is>
          <t>Erişim</t>
        </is>
      </c>
      <c r="I688" s="46" t="n">
        <v>163771</v>
      </c>
      <c r="J688" s="46" t="n">
        <v>163771</v>
      </c>
      <c r="K688" s="46" t="n">
        <v>169047</v>
      </c>
    </row>
    <row r="689">
      <c r="A689" s="47" t="inlineStr">
        <is>
          <t>Doruk Hastaneleri</t>
        </is>
      </c>
      <c r="B689" s="47" t="inlineStr">
        <is>
          <t>Doktor - Bilinirlik Kampanyası - Nilüfer</t>
        </is>
      </c>
      <c r="C689" s="50" t="inlineStr">
        <is>
          <t>2026-07-09</t>
        </is>
      </c>
      <c r="D689" s="47" t="inlineStr">
        <is>
          <t>Hastane (Kurumsal)</t>
        </is>
      </c>
      <c r="E689" s="47" t="inlineStr">
        <is>
          <t>Marka Bilinirliği (Erişim)</t>
        </is>
      </c>
      <c r="F689" s="47" t="inlineStr">
        <is>
          <t>Bilinirlik - Doktor Tanıtım</t>
        </is>
      </c>
      <c r="G689" s="84" t="n">
        <v>3356.44</v>
      </c>
      <c r="H689" s="47" t="inlineStr">
        <is>
          <t>Erişim</t>
        </is>
      </c>
      <c r="I689" s="50" t="n">
        <v>318155</v>
      </c>
      <c r="J689" s="50" t="n">
        <v>318155</v>
      </c>
      <c r="K689" s="50" t="n">
        <v>377813</v>
      </c>
    </row>
    <row r="690">
      <c r="A690" s="43" t="inlineStr">
        <is>
          <t>Doruk Hastaneleri</t>
        </is>
      </c>
      <c r="B690" s="43" t="inlineStr">
        <is>
          <t>Doktor - Bilinirlik Kampanyası - Nilüfer</t>
        </is>
      </c>
      <c r="C690" s="46" t="inlineStr">
        <is>
          <t>2026-07-22</t>
        </is>
      </c>
      <c r="D690" s="43" t="inlineStr">
        <is>
          <t>Hastane (Kurumsal)</t>
        </is>
      </c>
      <c r="E690" s="43" t="inlineStr">
        <is>
          <t>Marka Bilinirliği (Erişim)</t>
        </is>
      </c>
      <c r="F690" s="43" t="inlineStr">
        <is>
          <t>Bilinirlik - Doktor Tanıtım</t>
        </is>
      </c>
      <c r="G690" s="83" t="n">
        <v>3188.6</v>
      </c>
      <c r="H690" s="43" t="inlineStr">
        <is>
          <t>Erişim</t>
        </is>
      </c>
      <c r="I690" s="46" t="n">
        <v>307369</v>
      </c>
      <c r="J690" s="46" t="n">
        <v>307369</v>
      </c>
      <c r="K690" s="46" t="n">
        <v>352519</v>
      </c>
    </row>
    <row r="691">
      <c r="A691" s="47" t="inlineStr">
        <is>
          <t>Doruk Hastaneleri</t>
        </is>
      </c>
      <c r="B691" s="47" t="inlineStr">
        <is>
          <t>ÖSS-TSS - marka bilinirliği</t>
        </is>
      </c>
      <c r="C691" s="50" t="inlineStr">
        <is>
          <t>2026-07-18</t>
        </is>
      </c>
      <c r="D691" s="47" t="inlineStr">
        <is>
          <t>Hastane (Kurumsal)</t>
        </is>
      </c>
      <c r="E691" s="47" t="inlineStr">
        <is>
          <t>Marka Bilinirliği (Erişim)</t>
        </is>
      </c>
      <c r="F691" s="47" t="inlineStr">
        <is>
          <t>Bilinirlik - Kurumsal (ÖSS-TSS)</t>
        </is>
      </c>
      <c r="G691" s="84" t="n">
        <v>3107.89</v>
      </c>
      <c r="H691" s="47" t="inlineStr">
        <is>
          <t>Erişim</t>
        </is>
      </c>
      <c r="I691" s="50" t="n">
        <v>226448</v>
      </c>
      <c r="J691" s="50" t="n">
        <v>226448</v>
      </c>
      <c r="K691" s="50" t="n">
        <v>231870</v>
      </c>
    </row>
    <row r="692">
      <c r="A692" s="43" t="inlineStr">
        <is>
          <t>Doruk Hastaneleri</t>
        </is>
      </c>
      <c r="B692" s="43" t="inlineStr">
        <is>
          <t>Doktor - Bilinirlik Kampanyası - Yıldırım</t>
        </is>
      </c>
      <c r="C692" s="46" t="inlineStr">
        <is>
          <t>2026-07-16</t>
        </is>
      </c>
      <c r="D692" s="43" t="inlineStr">
        <is>
          <t>Hastane (Kurumsal)</t>
        </is>
      </c>
      <c r="E692" s="43" t="inlineStr">
        <is>
          <t>Marka Bilinirliği (Erişim)</t>
        </is>
      </c>
      <c r="F692" s="43" t="inlineStr">
        <is>
          <t>Bilinirlik - Doktor Tanıtım</t>
        </is>
      </c>
      <c r="G692" s="83" t="n">
        <v>2797.49</v>
      </c>
      <c r="H692" s="43" t="inlineStr">
        <is>
          <t>Erişim</t>
        </is>
      </c>
      <c r="I692" s="46" t="n">
        <v>296000</v>
      </c>
      <c r="J692" s="46" t="n">
        <v>296000</v>
      </c>
      <c r="K692" s="46" t="n">
        <v>322878</v>
      </c>
    </row>
    <row r="693">
      <c r="A693" s="47" t="inlineStr">
        <is>
          <t>Doruk Hastaneleri</t>
        </is>
      </c>
      <c r="B693" s="47" t="inlineStr">
        <is>
          <t>ÖSS-TSS - marka bilinirliği</t>
        </is>
      </c>
      <c r="C693" s="50" t="inlineStr">
        <is>
          <t>2026-07-10</t>
        </is>
      </c>
      <c r="D693" s="47" t="inlineStr">
        <is>
          <t>Hastane (Kurumsal)</t>
        </is>
      </c>
      <c r="E693" s="47" t="inlineStr">
        <is>
          <t>Marka Bilinirliği (Erişim)</t>
        </is>
      </c>
      <c r="F693" s="47" t="inlineStr">
        <is>
          <t>Bilinirlik - Kurumsal (ÖSS-TSS)</t>
        </is>
      </c>
      <c r="G693" s="84" t="n">
        <v>2775.26</v>
      </c>
      <c r="H693" s="47" t="inlineStr">
        <is>
          <t>Erişim</t>
        </is>
      </c>
      <c r="I693" s="50" t="n">
        <v>212906</v>
      </c>
      <c r="J693" s="50" t="n">
        <v>212906</v>
      </c>
      <c r="K693" s="50" t="n">
        <v>219120</v>
      </c>
    </row>
    <row r="694">
      <c r="A694" s="43" t="inlineStr">
        <is>
          <t>Doruk Hastaneleri</t>
        </is>
      </c>
      <c r="B694" s="43" t="inlineStr">
        <is>
          <t>ÖSS-TSS - marka bilinirliği</t>
        </is>
      </c>
      <c r="C694" s="46" t="inlineStr">
        <is>
          <t>2026-06-26</t>
        </is>
      </c>
      <c r="D694" s="43" t="inlineStr">
        <is>
          <t>Hastane (Kurumsal)</t>
        </is>
      </c>
      <c r="E694" s="43" t="inlineStr">
        <is>
          <t>Marka Bilinirliği (Erişim)</t>
        </is>
      </c>
      <c r="F694" s="43" t="inlineStr">
        <is>
          <t>Bilinirlik - Kurumsal (ÖSS-TSS)</t>
        </is>
      </c>
      <c r="G694" s="83" t="n">
        <v>2655.96</v>
      </c>
      <c r="H694" s="43" t="inlineStr">
        <is>
          <t>Erişim</t>
        </is>
      </c>
      <c r="I694" s="46" t="n">
        <v>148195</v>
      </c>
      <c r="J694" s="46" t="n">
        <v>148195</v>
      </c>
      <c r="K694" s="46" t="n">
        <v>151354</v>
      </c>
    </row>
    <row r="695">
      <c r="A695" s="47" t="inlineStr">
        <is>
          <t>Doruk Hastaneleri</t>
        </is>
      </c>
      <c r="B695" s="47" t="inlineStr">
        <is>
          <t>Doktor - Bilinirlik Kampanyası - Nilüfer</t>
        </is>
      </c>
      <c r="C695" s="50" t="inlineStr">
        <is>
          <t>2026-07-05</t>
        </is>
      </c>
      <c r="D695" s="47" t="inlineStr">
        <is>
          <t>Hastane (Kurumsal)</t>
        </is>
      </c>
      <c r="E695" s="47" t="inlineStr">
        <is>
          <t>Marka Bilinirliği (Erişim)</t>
        </is>
      </c>
      <c r="F695" s="47" t="inlineStr">
        <is>
          <t>Bilinirlik - Doktor Tanıtım</t>
        </is>
      </c>
      <c r="G695" s="84" t="n">
        <v>2605.82</v>
      </c>
      <c r="H695" s="47" t="inlineStr">
        <is>
          <t>Erişim</t>
        </is>
      </c>
      <c r="I695" s="50" t="n">
        <v>249595</v>
      </c>
      <c r="J695" s="50" t="n">
        <v>249595</v>
      </c>
      <c r="K695" s="50" t="n">
        <v>302092</v>
      </c>
    </row>
    <row r="696">
      <c r="A696" s="43" t="inlineStr">
        <is>
          <t>Doruk Hastaneleri</t>
        </is>
      </c>
      <c r="B696" s="43" t="inlineStr">
        <is>
          <t>Doktor - Bilinirlik Kampanyası - Yıldırım</t>
        </is>
      </c>
      <c r="C696" s="46" t="inlineStr">
        <is>
          <t>2026-07-15</t>
        </is>
      </c>
      <c r="D696" s="43" t="inlineStr">
        <is>
          <t>Hastane (Kurumsal)</t>
        </is>
      </c>
      <c r="E696" s="43" t="inlineStr">
        <is>
          <t>Marka Bilinirliği (Erişim)</t>
        </is>
      </c>
      <c r="F696" s="43" t="inlineStr">
        <is>
          <t>Bilinirlik - Doktor Tanıtım</t>
        </is>
      </c>
      <c r="G696" s="83" t="n">
        <v>2497.92</v>
      </c>
      <c r="H696" s="43" t="inlineStr">
        <is>
          <t>Erişim</t>
        </is>
      </c>
      <c r="I696" s="46" t="n">
        <v>265161</v>
      </c>
      <c r="J696" s="46" t="n">
        <v>265161</v>
      </c>
      <c r="K696" s="46" t="n">
        <v>295081</v>
      </c>
    </row>
    <row r="697">
      <c r="A697" s="47" t="inlineStr">
        <is>
          <t>Doruk Hastaneleri</t>
        </is>
      </c>
      <c r="B697" s="47" t="inlineStr">
        <is>
          <t>ÖSS-TSS - marka bilinirliği</t>
        </is>
      </c>
      <c r="C697" s="50" t="inlineStr">
        <is>
          <t>2026-07-16</t>
        </is>
      </c>
      <c r="D697" s="47" t="inlineStr">
        <is>
          <t>Hastane (Kurumsal)</t>
        </is>
      </c>
      <c r="E697" s="47" t="inlineStr">
        <is>
          <t>Marka Bilinirliği (Erişim)</t>
        </is>
      </c>
      <c r="F697" s="47" t="inlineStr">
        <is>
          <t>Bilinirlik - Kurumsal (ÖSS-TSS)</t>
        </is>
      </c>
      <c r="G697" s="84" t="n">
        <v>2391.07</v>
      </c>
      <c r="H697" s="47" t="inlineStr">
        <is>
          <t>Erişim</t>
        </is>
      </c>
      <c r="I697" s="50" t="n">
        <v>186236</v>
      </c>
      <c r="J697" s="50" t="n">
        <v>186236</v>
      </c>
      <c r="K697" s="50" t="n">
        <v>197694</v>
      </c>
    </row>
    <row r="698">
      <c r="A698" s="43" t="inlineStr">
        <is>
          <t>Doruk Hastaneleri</t>
        </is>
      </c>
      <c r="B698" s="43" t="inlineStr">
        <is>
          <t>ÖSS-TSS - marka bilinirliği</t>
        </is>
      </c>
      <c r="C698" s="46" t="inlineStr">
        <is>
          <t>2026-07-03</t>
        </is>
      </c>
      <c r="D698" s="43" t="inlineStr">
        <is>
          <t>Hastane (Kurumsal)</t>
        </is>
      </c>
      <c r="E698" s="43" t="inlineStr">
        <is>
          <t>Marka Bilinirliği (Erişim)</t>
        </is>
      </c>
      <c r="F698" s="43" t="inlineStr">
        <is>
          <t>Bilinirlik - Kurumsal (ÖSS-TSS)</t>
        </is>
      </c>
      <c r="G698" s="83" t="n">
        <v>2328.17</v>
      </c>
      <c r="H698" s="43" t="inlineStr">
        <is>
          <t>Erişim</t>
        </is>
      </c>
      <c r="I698" s="46" t="n">
        <v>152161</v>
      </c>
      <c r="J698" s="46" t="n">
        <v>152161</v>
      </c>
      <c r="K698" s="46" t="n">
        <v>162461</v>
      </c>
    </row>
    <row r="699">
      <c r="A699" s="47" t="inlineStr">
        <is>
          <t>Doruk Hastaneleri</t>
        </is>
      </c>
      <c r="B699" s="47" t="inlineStr">
        <is>
          <t>ÖSS-TSS - marka bilinirliği</t>
        </is>
      </c>
      <c r="C699" s="50" t="inlineStr">
        <is>
          <t>2026-07-08</t>
        </is>
      </c>
      <c r="D699" s="47" t="inlineStr">
        <is>
          <t>Hastane (Kurumsal)</t>
        </is>
      </c>
      <c r="E699" s="47" t="inlineStr">
        <is>
          <t>Marka Bilinirliği (Erişim)</t>
        </is>
      </c>
      <c r="F699" s="47" t="inlineStr">
        <is>
          <t>Bilinirlik - Kurumsal (ÖSS-TSS)</t>
        </is>
      </c>
      <c r="G699" s="84" t="n">
        <v>2269.08</v>
      </c>
      <c r="H699" s="47" t="inlineStr">
        <is>
          <t>Erişim</t>
        </is>
      </c>
      <c r="I699" s="50" t="n">
        <v>177147</v>
      </c>
      <c r="J699" s="50" t="n">
        <v>177147</v>
      </c>
      <c r="K699" s="50" t="n">
        <v>184633</v>
      </c>
    </row>
    <row r="700">
      <c r="A700" s="43" t="inlineStr">
        <is>
          <t>Doruk Hastaneleri</t>
        </is>
      </c>
      <c r="B700" s="43" t="inlineStr">
        <is>
          <t>ÖSS-TSS - marka bilinirliği</t>
        </is>
      </c>
      <c r="C700" s="46" t="inlineStr">
        <is>
          <t>2026-07-01</t>
        </is>
      </c>
      <c r="D700" s="43" t="inlineStr">
        <is>
          <t>Hastane (Kurumsal)</t>
        </is>
      </c>
      <c r="E700" s="43" t="inlineStr">
        <is>
          <t>Marka Bilinirliği (Erişim)</t>
        </is>
      </c>
      <c r="F700" s="43" t="inlineStr">
        <is>
          <t>Bilinirlik - Kurumsal (ÖSS-TSS)</t>
        </is>
      </c>
      <c r="G700" s="83" t="n">
        <v>2242.3</v>
      </c>
      <c r="H700" s="43" t="inlineStr">
        <is>
          <t>Erişim</t>
        </is>
      </c>
      <c r="I700" s="46" t="n">
        <v>156687</v>
      </c>
      <c r="J700" s="46" t="n">
        <v>156687</v>
      </c>
      <c r="K700" s="46" t="n">
        <v>166775</v>
      </c>
    </row>
    <row r="701">
      <c r="A701" s="47" t="inlineStr">
        <is>
          <t>Doruk Hastaneleri</t>
        </is>
      </c>
      <c r="B701" s="47" t="inlineStr">
        <is>
          <t>ÖSS-TSS - marka bilinirliği</t>
        </is>
      </c>
      <c r="C701" s="50" t="inlineStr">
        <is>
          <t>2026-06-28</t>
        </is>
      </c>
      <c r="D701" s="47" t="inlineStr">
        <is>
          <t>Hastane (Kurumsal)</t>
        </is>
      </c>
      <c r="E701" s="47" t="inlineStr">
        <is>
          <t>Marka Bilinirliği (Erişim)</t>
        </is>
      </c>
      <c r="F701" s="47" t="inlineStr">
        <is>
          <t>Bilinirlik - Kurumsal (ÖSS-TSS)</t>
        </is>
      </c>
      <c r="G701" s="84" t="n">
        <v>2241.4</v>
      </c>
      <c r="H701" s="47" t="inlineStr">
        <is>
          <t>Erişim</t>
        </is>
      </c>
      <c r="I701" s="50" t="n">
        <v>118396</v>
      </c>
      <c r="J701" s="50" t="n">
        <v>118396</v>
      </c>
      <c r="K701" s="50" t="n">
        <v>124442</v>
      </c>
    </row>
    <row r="702">
      <c r="A702" s="43" t="inlineStr">
        <is>
          <t>Doruk Hastaneleri</t>
        </is>
      </c>
      <c r="B702" s="43" t="inlineStr">
        <is>
          <t>Doktor - Bilinirlik Kampanyası - Yıldırım</t>
        </is>
      </c>
      <c r="C702" s="46" t="inlineStr">
        <is>
          <t>2026-07-20</t>
        </is>
      </c>
      <c r="D702" s="43" t="inlineStr">
        <is>
          <t>Hastane (Kurumsal)</t>
        </is>
      </c>
      <c r="E702" s="43" t="inlineStr">
        <is>
          <t>Marka Bilinirliği (Erişim)</t>
        </is>
      </c>
      <c r="F702" s="43" t="inlineStr">
        <is>
          <t>Bilinirlik - Doktor Tanıtım</t>
        </is>
      </c>
      <c r="G702" s="83" t="n">
        <v>2137.07</v>
      </c>
      <c r="H702" s="43" t="inlineStr">
        <is>
          <t>Erişim</t>
        </is>
      </c>
      <c r="I702" s="46" t="n">
        <v>226652</v>
      </c>
      <c r="J702" s="46" t="n">
        <v>226652</v>
      </c>
      <c r="K702" s="46" t="n">
        <v>244693</v>
      </c>
    </row>
    <row r="703">
      <c r="A703" s="47" t="inlineStr">
        <is>
          <t>Doruk Hastaneleri</t>
        </is>
      </c>
      <c r="B703" s="47" t="inlineStr">
        <is>
          <t>ÖSS-TSS - marka bilinirliği</t>
        </is>
      </c>
      <c r="C703" s="50" t="inlineStr">
        <is>
          <t>2026-07-04</t>
        </is>
      </c>
      <c r="D703" s="47" t="inlineStr">
        <is>
          <t>Hastane (Kurumsal)</t>
        </is>
      </c>
      <c r="E703" s="47" t="inlineStr">
        <is>
          <t>Marka Bilinirliği (Erişim)</t>
        </is>
      </c>
      <c r="F703" s="47" t="inlineStr">
        <is>
          <t>Bilinirlik - Kurumsal (ÖSS-TSS)</t>
        </is>
      </c>
      <c r="G703" s="84" t="n">
        <v>2011.91</v>
      </c>
      <c r="H703" s="47" t="inlineStr">
        <is>
          <t>Erişim</t>
        </is>
      </c>
      <c r="I703" s="50" t="n">
        <v>151535</v>
      </c>
      <c r="J703" s="50" t="n">
        <v>151535</v>
      </c>
      <c r="K703" s="50" t="n">
        <v>153962</v>
      </c>
    </row>
    <row r="704">
      <c r="A704" s="43" t="inlineStr">
        <is>
          <t>Doruk Hastaneleri</t>
        </is>
      </c>
      <c r="B704" s="43" t="inlineStr">
        <is>
          <t>ÖSS-TSS - marka bilinirliği</t>
        </is>
      </c>
      <c r="C704" s="46" t="inlineStr">
        <is>
          <t>2026-06-23</t>
        </is>
      </c>
      <c r="D704" s="43" t="inlineStr">
        <is>
          <t>Hastane (Kurumsal)</t>
        </is>
      </c>
      <c r="E704" s="43" t="inlineStr">
        <is>
          <t>Marka Bilinirliği (Erişim)</t>
        </is>
      </c>
      <c r="F704" s="43" t="inlineStr">
        <is>
          <t>Bilinirlik - Kurumsal (ÖSS-TSS)</t>
        </is>
      </c>
      <c r="G704" s="83" t="n">
        <v>1968.09</v>
      </c>
      <c r="H704" s="43" t="inlineStr">
        <is>
          <t>Erişim</t>
        </is>
      </c>
      <c r="I704" s="46" t="n">
        <v>108407</v>
      </c>
      <c r="J704" s="46" t="n">
        <v>108407</v>
      </c>
      <c r="K704" s="46" t="n">
        <v>112660</v>
      </c>
    </row>
    <row r="705">
      <c r="A705" s="47" t="inlineStr">
        <is>
          <t>Doruk Hastaneleri</t>
        </is>
      </c>
      <c r="B705" s="47" t="inlineStr">
        <is>
          <t>ÖSS-TSS - marka bilinirliği</t>
        </is>
      </c>
      <c r="C705" s="50" t="inlineStr">
        <is>
          <t>2026-07-15</t>
        </is>
      </c>
      <c r="D705" s="47" t="inlineStr">
        <is>
          <t>Hastane (Kurumsal)</t>
        </is>
      </c>
      <c r="E705" s="47" t="inlineStr">
        <is>
          <t>Marka Bilinirliği (Erişim)</t>
        </is>
      </c>
      <c r="F705" s="47" t="inlineStr">
        <is>
          <t>Bilinirlik - Kurumsal (ÖSS-TSS)</t>
        </is>
      </c>
      <c r="G705" s="84" t="n">
        <v>1908.43</v>
      </c>
      <c r="H705" s="47" t="inlineStr">
        <is>
          <t>Erişim</t>
        </is>
      </c>
      <c r="I705" s="50" t="n">
        <v>165340</v>
      </c>
      <c r="J705" s="50" t="n">
        <v>165340</v>
      </c>
      <c r="K705" s="50" t="n">
        <v>172517</v>
      </c>
    </row>
    <row r="706">
      <c r="A706" s="43" t="inlineStr">
        <is>
          <t>Doruk Hastaneleri</t>
        </is>
      </c>
      <c r="B706" s="43" t="inlineStr">
        <is>
          <t>ÖSS-TSS - marka bilinirliği</t>
        </is>
      </c>
      <c r="C706" s="46" t="inlineStr">
        <is>
          <t>2026-07-13</t>
        </is>
      </c>
      <c r="D706" s="43" t="inlineStr">
        <is>
          <t>Hastane (Kurumsal)</t>
        </is>
      </c>
      <c r="E706" s="43" t="inlineStr">
        <is>
          <t>Marka Bilinirliği (Erişim)</t>
        </is>
      </c>
      <c r="F706" s="43" t="inlineStr">
        <is>
          <t>Bilinirlik - Kurumsal (ÖSS-TSS)</t>
        </is>
      </c>
      <c r="G706" s="83" t="n">
        <v>1897.98</v>
      </c>
      <c r="H706" s="43" t="inlineStr">
        <is>
          <t>Erişim</t>
        </is>
      </c>
      <c r="I706" s="46" t="n">
        <v>132961</v>
      </c>
      <c r="J706" s="46" t="n">
        <v>132961</v>
      </c>
      <c r="K706" s="46" t="n">
        <v>139523</v>
      </c>
    </row>
    <row r="707">
      <c r="A707" s="47" t="inlineStr">
        <is>
          <t>Doruk Hastaneleri</t>
        </is>
      </c>
      <c r="B707" s="47" t="inlineStr">
        <is>
          <t>ÖSS-TSS - marka bilinirliği</t>
        </is>
      </c>
      <c r="C707" s="50" t="inlineStr">
        <is>
          <t>2026-07-02</t>
        </is>
      </c>
      <c r="D707" s="47" t="inlineStr">
        <is>
          <t>Hastane (Kurumsal)</t>
        </is>
      </c>
      <c r="E707" s="47" t="inlineStr">
        <is>
          <t>Marka Bilinirliği (Erişim)</t>
        </is>
      </c>
      <c r="F707" s="47" t="inlineStr">
        <is>
          <t>Bilinirlik - Kurumsal (ÖSS-TSS)</t>
        </is>
      </c>
      <c r="G707" s="84" t="n">
        <v>1871.14</v>
      </c>
      <c r="H707" s="47" t="inlineStr">
        <is>
          <t>Erişim</t>
        </is>
      </c>
      <c r="I707" s="50" t="n">
        <v>136252</v>
      </c>
      <c r="J707" s="50" t="n">
        <v>136252</v>
      </c>
      <c r="K707" s="50" t="n">
        <v>140454</v>
      </c>
    </row>
    <row r="708">
      <c r="A708" s="43" t="inlineStr">
        <is>
          <t>Doruk Hastaneleri</t>
        </is>
      </c>
      <c r="B708" s="43" t="inlineStr">
        <is>
          <t>ÖSS-TSS - marka bilinirliği</t>
        </is>
      </c>
      <c r="C708" s="46" t="inlineStr">
        <is>
          <t>2026-06-30</t>
        </is>
      </c>
      <c r="D708" s="43" t="inlineStr">
        <is>
          <t>Hastane (Kurumsal)</t>
        </is>
      </c>
      <c r="E708" s="43" t="inlineStr">
        <is>
          <t>Marka Bilinirliği (Erişim)</t>
        </is>
      </c>
      <c r="F708" s="43" t="inlineStr">
        <is>
          <t>Bilinirlik - Kurumsal (ÖSS-TSS)</t>
        </is>
      </c>
      <c r="G708" s="83" t="n">
        <v>1801.4</v>
      </c>
      <c r="H708" s="43" t="inlineStr">
        <is>
          <t>Erişim</t>
        </is>
      </c>
      <c r="I708" s="46" t="n">
        <v>98956</v>
      </c>
      <c r="J708" s="46" t="n">
        <v>98956</v>
      </c>
      <c r="K708" s="46" t="n">
        <v>106471</v>
      </c>
    </row>
    <row r="709">
      <c r="A709" s="47" t="inlineStr">
        <is>
          <t>Doruk Hastaneleri</t>
        </is>
      </c>
      <c r="B709" s="47" t="inlineStr">
        <is>
          <t>Doktor - Bilinirlik Kampanyası - Yıldırım</t>
        </is>
      </c>
      <c r="C709" s="50" t="inlineStr">
        <is>
          <t>2026-07-17</t>
        </is>
      </c>
      <c r="D709" s="47" t="inlineStr">
        <is>
          <t>Hastane (Kurumsal)</t>
        </is>
      </c>
      <c r="E709" s="47" t="inlineStr">
        <is>
          <t>Marka Bilinirliği (Erişim)</t>
        </is>
      </c>
      <c r="F709" s="47" t="inlineStr">
        <is>
          <t>Bilinirlik - Doktor Tanıtım</t>
        </is>
      </c>
      <c r="G709" s="84" t="n">
        <v>1722.42</v>
      </c>
      <c r="H709" s="47" t="inlineStr">
        <is>
          <t>Erişim</t>
        </is>
      </c>
      <c r="I709" s="50" t="n">
        <v>173389</v>
      </c>
      <c r="J709" s="50" t="n">
        <v>173389</v>
      </c>
      <c r="K709" s="50" t="n">
        <v>192936</v>
      </c>
    </row>
    <row r="710">
      <c r="A710" s="43" t="inlineStr">
        <is>
          <t>Doruk Hastaneleri</t>
        </is>
      </c>
      <c r="B710" s="43" t="inlineStr">
        <is>
          <t>Gebe-Doğum Bilinirlik</t>
        </is>
      </c>
      <c r="C710" s="46" t="inlineStr">
        <is>
          <t>2026-06-27</t>
        </is>
      </c>
      <c r="D710" s="43" t="inlineStr">
        <is>
          <t>Hastane (Kurumsal)</t>
        </is>
      </c>
      <c r="E710" s="43" t="inlineStr">
        <is>
          <t>Marka Bilinirliği (Erişim)</t>
        </is>
      </c>
      <c r="F710" s="43" t="inlineStr">
        <is>
          <t>Bilinirlik - Gebe/Doğum</t>
        </is>
      </c>
      <c r="G710" s="83" t="n">
        <v>1716.48</v>
      </c>
      <c r="H710" s="43" t="inlineStr">
        <is>
          <t>Erişim</t>
        </is>
      </c>
      <c r="I710" s="46" t="n">
        <v>125895</v>
      </c>
      <c r="J710" s="46" t="n">
        <v>125895</v>
      </c>
      <c r="K710" s="46" t="n">
        <v>125895</v>
      </c>
    </row>
    <row r="711">
      <c r="A711" s="47" t="inlineStr">
        <is>
          <t>Doruk Hastaneleri</t>
        </is>
      </c>
      <c r="B711" s="47" t="inlineStr">
        <is>
          <t>ÖSS-TSS - marka bilinirliği</t>
        </is>
      </c>
      <c r="C711" s="50" t="inlineStr">
        <is>
          <t>2026-07-17</t>
        </is>
      </c>
      <c r="D711" s="47" t="inlineStr">
        <is>
          <t>Hastane (Kurumsal)</t>
        </is>
      </c>
      <c r="E711" s="47" t="inlineStr">
        <is>
          <t>Marka Bilinirliği (Erişim)</t>
        </is>
      </c>
      <c r="F711" s="47" t="inlineStr">
        <is>
          <t>Bilinirlik - Kurumsal (ÖSS-TSS)</t>
        </is>
      </c>
      <c r="G711" s="84" t="n">
        <v>1622.9</v>
      </c>
      <c r="H711" s="47" t="inlineStr">
        <is>
          <t>Erişim</t>
        </is>
      </c>
      <c r="I711" s="50" t="n">
        <v>117111</v>
      </c>
      <c r="J711" s="50" t="n">
        <v>117111</v>
      </c>
      <c r="K711" s="50" t="n">
        <v>125223</v>
      </c>
    </row>
    <row r="712">
      <c r="A712" s="43" t="inlineStr">
        <is>
          <t>Doruk Hastaneleri</t>
        </is>
      </c>
      <c r="B712" s="43" t="inlineStr">
        <is>
          <t>Gebe-Doğum Bilinirlik</t>
        </is>
      </c>
      <c r="C712" s="46" t="inlineStr">
        <is>
          <t>2026-07-18</t>
        </is>
      </c>
      <c r="D712" s="43" t="inlineStr">
        <is>
          <t>Hastane (Kurumsal)</t>
        </is>
      </c>
      <c r="E712" s="43" t="inlineStr">
        <is>
          <t>Marka Bilinirliği (Erişim)</t>
        </is>
      </c>
      <c r="F712" s="43" t="inlineStr">
        <is>
          <t>Bilinirlik - Gebe/Doğum</t>
        </is>
      </c>
      <c r="G712" s="83" t="n">
        <v>1563.95</v>
      </c>
      <c r="H712" s="43" t="inlineStr">
        <is>
          <t>Erişim</t>
        </is>
      </c>
      <c r="I712" s="46" t="n">
        <v>159902</v>
      </c>
      <c r="J712" s="46" t="n">
        <v>159902</v>
      </c>
      <c r="K712" s="46" t="n">
        <v>161740</v>
      </c>
    </row>
    <row r="713">
      <c r="A713" s="47" t="inlineStr">
        <is>
          <t>Doruk Hastaneleri</t>
        </is>
      </c>
      <c r="B713" s="47" t="inlineStr">
        <is>
          <t>ÖSS-TSS - marka bilinirliği</t>
        </is>
      </c>
      <c r="C713" s="50" t="inlineStr">
        <is>
          <t>2026-07-20</t>
        </is>
      </c>
      <c r="D713" s="47" t="inlineStr">
        <is>
          <t>Hastane (Kurumsal)</t>
        </is>
      </c>
      <c r="E713" s="47" t="inlineStr">
        <is>
          <t>Marka Bilinirliği (Erişim)</t>
        </is>
      </c>
      <c r="F713" s="47" t="inlineStr">
        <is>
          <t>Bilinirlik - Kurumsal (ÖSS-TSS)</t>
        </is>
      </c>
      <c r="G713" s="84" t="n">
        <v>1559.24</v>
      </c>
      <c r="H713" s="47" t="inlineStr">
        <is>
          <t>Erişim</t>
        </is>
      </c>
      <c r="I713" s="50" t="n">
        <v>120487</v>
      </c>
      <c r="J713" s="50" t="n">
        <v>120487</v>
      </c>
      <c r="K713" s="50" t="n">
        <v>129873</v>
      </c>
    </row>
    <row r="714">
      <c r="A714" s="43" t="inlineStr">
        <is>
          <t>Doruk Hastaneleri</t>
        </is>
      </c>
      <c r="B714" s="43" t="inlineStr">
        <is>
          <t>ÖSS-TSS - marka bilinirliği</t>
        </is>
      </c>
      <c r="C714" s="46" t="inlineStr">
        <is>
          <t>2026-06-29</t>
        </is>
      </c>
      <c r="D714" s="43" t="inlineStr">
        <is>
          <t>Hastane (Kurumsal)</t>
        </is>
      </c>
      <c r="E714" s="43" t="inlineStr">
        <is>
          <t>Marka Bilinirliği (Erişim)</t>
        </is>
      </c>
      <c r="F714" s="43" t="inlineStr">
        <is>
          <t>Bilinirlik - Kurumsal (ÖSS-TSS)</t>
        </is>
      </c>
      <c r="G714" s="83" t="n">
        <v>1503.68</v>
      </c>
      <c r="H714" s="43" t="inlineStr">
        <is>
          <t>Erişim</t>
        </is>
      </c>
      <c r="I714" s="46" t="n">
        <v>86801</v>
      </c>
      <c r="J714" s="46" t="n">
        <v>86801</v>
      </c>
      <c r="K714" s="46" t="n">
        <v>87521</v>
      </c>
    </row>
    <row r="715">
      <c r="A715" s="47" t="inlineStr">
        <is>
          <t>Doruk Hastaneleri</t>
        </is>
      </c>
      <c r="B715" s="47" t="inlineStr">
        <is>
          <t>Doktor - Bilinirlik Kampanyası - Yıldırım</t>
        </is>
      </c>
      <c r="C715" s="50" t="inlineStr">
        <is>
          <t>2026-07-13</t>
        </is>
      </c>
      <c r="D715" s="47" t="inlineStr">
        <is>
          <t>Hastane (Kurumsal)</t>
        </is>
      </c>
      <c r="E715" s="47" t="inlineStr">
        <is>
          <t>Marka Bilinirliği (Erişim)</t>
        </is>
      </c>
      <c r="F715" s="47" t="inlineStr">
        <is>
          <t>Bilinirlik - Doktor Tanıtım</t>
        </is>
      </c>
      <c r="G715" s="84" t="n">
        <v>1494.73</v>
      </c>
      <c r="H715" s="47" t="inlineStr">
        <is>
          <t>Erişim</t>
        </is>
      </c>
      <c r="I715" s="50" t="n">
        <v>163731</v>
      </c>
      <c r="J715" s="50" t="n">
        <v>163731</v>
      </c>
      <c r="K715" s="50" t="n">
        <v>178032</v>
      </c>
    </row>
    <row r="716">
      <c r="A716" s="43" t="inlineStr">
        <is>
          <t>Doruk Hastaneleri</t>
        </is>
      </c>
      <c r="B716" s="43" t="inlineStr">
        <is>
          <t>Doktor - Bilinirlik Kampanyası - Yıldırım</t>
        </is>
      </c>
      <c r="C716" s="46" t="inlineStr">
        <is>
          <t>2026-07-22</t>
        </is>
      </c>
      <c r="D716" s="43" t="inlineStr">
        <is>
          <t>Hastane (Kurumsal)</t>
        </is>
      </c>
      <c r="E716" s="43" t="inlineStr">
        <is>
          <t>Marka Bilinirliği (Erişim)</t>
        </is>
      </c>
      <c r="F716" s="43" t="inlineStr">
        <is>
          <t>Bilinirlik - Doktor Tanıtım</t>
        </is>
      </c>
      <c r="G716" s="83" t="n">
        <v>1414.73</v>
      </c>
      <c r="H716" s="43" t="inlineStr">
        <is>
          <t>Erişim</t>
        </is>
      </c>
      <c r="I716" s="46" t="n">
        <v>155764</v>
      </c>
      <c r="J716" s="46" t="n">
        <v>155764</v>
      </c>
      <c r="K716" s="46" t="n">
        <v>158393</v>
      </c>
    </row>
    <row r="717">
      <c r="A717" s="47" t="inlineStr">
        <is>
          <t>Doruk Hastaneleri</t>
        </is>
      </c>
      <c r="B717" s="47" t="inlineStr">
        <is>
          <t>Gebe-Doğum Bilinirlik</t>
        </is>
      </c>
      <c r="C717" s="50" t="inlineStr">
        <is>
          <t>2026-07-15</t>
        </is>
      </c>
      <c r="D717" s="47" t="inlineStr">
        <is>
          <t>Hastane (Kurumsal)</t>
        </is>
      </c>
      <c r="E717" s="47" t="inlineStr">
        <is>
          <t>Marka Bilinirliği (Erişim)</t>
        </is>
      </c>
      <c r="F717" s="47" t="inlineStr">
        <is>
          <t>Bilinirlik - Gebe/Doğum</t>
        </is>
      </c>
      <c r="G717" s="84" t="n">
        <v>1411.28</v>
      </c>
      <c r="H717" s="47" t="inlineStr">
        <is>
          <t>Erişim</t>
        </is>
      </c>
      <c r="I717" s="50" t="n">
        <v>113850</v>
      </c>
      <c r="J717" s="50" t="n">
        <v>113850</v>
      </c>
      <c r="K717" s="50" t="n">
        <v>116325</v>
      </c>
    </row>
    <row r="718">
      <c r="A718" s="43" t="inlineStr">
        <is>
          <t>Doruk Hastaneleri</t>
        </is>
      </c>
      <c r="B718" s="43" t="inlineStr">
        <is>
          <t>Gebe-Doğum Bilinirlik</t>
        </is>
      </c>
      <c r="C718" s="46" t="inlineStr">
        <is>
          <t>2026-06-26</t>
        </is>
      </c>
      <c r="D718" s="43" t="inlineStr">
        <is>
          <t>Hastane (Kurumsal)</t>
        </is>
      </c>
      <c r="E718" s="43" t="inlineStr">
        <is>
          <t>Marka Bilinirliği (Erişim)</t>
        </is>
      </c>
      <c r="F718" s="43" t="inlineStr">
        <is>
          <t>Bilinirlik - Gebe/Doğum</t>
        </is>
      </c>
      <c r="G718" s="83" t="n">
        <v>1408.87</v>
      </c>
      <c r="H718" s="43" t="inlineStr">
        <is>
          <t>Erişim</t>
        </is>
      </c>
      <c r="I718" s="46" t="n">
        <v>106743</v>
      </c>
      <c r="J718" s="46" t="n">
        <v>106743</v>
      </c>
      <c r="K718" s="46" t="n">
        <v>106809</v>
      </c>
    </row>
    <row r="719">
      <c r="A719" s="47" t="inlineStr">
        <is>
          <t>Doruk Hastaneleri</t>
        </is>
      </c>
      <c r="B719" s="47" t="inlineStr">
        <is>
          <t>Gebe-Doğum Bilinirlik</t>
        </is>
      </c>
      <c r="C719" s="50" t="inlineStr">
        <is>
          <t>2026-07-10</t>
        </is>
      </c>
      <c r="D719" s="47" t="inlineStr">
        <is>
          <t>Hastane (Kurumsal)</t>
        </is>
      </c>
      <c r="E719" s="47" t="inlineStr">
        <is>
          <t>Marka Bilinirliği (Erişim)</t>
        </is>
      </c>
      <c r="F719" s="47" t="inlineStr">
        <is>
          <t>Bilinirlik - Gebe/Doğum</t>
        </is>
      </c>
      <c r="G719" s="84" t="n">
        <v>1398.59</v>
      </c>
      <c r="H719" s="47" t="inlineStr">
        <is>
          <t>Erişim</t>
        </is>
      </c>
      <c r="I719" s="50" t="n">
        <v>156262</v>
      </c>
      <c r="J719" s="50" t="n">
        <v>156262</v>
      </c>
      <c r="K719" s="50" t="n">
        <v>156765</v>
      </c>
    </row>
    <row r="720">
      <c r="A720" s="43" t="inlineStr">
        <is>
          <t>Doruk Hastaneleri</t>
        </is>
      </c>
      <c r="B720" s="43" t="inlineStr">
        <is>
          <t>ÖSS-TSS - marka bilinirliği</t>
        </is>
      </c>
      <c r="C720" s="46" t="inlineStr">
        <is>
          <t>2026-07-22</t>
        </is>
      </c>
      <c r="D720" s="43" t="inlineStr">
        <is>
          <t>Hastane (Kurumsal)</t>
        </is>
      </c>
      <c r="E720" s="43" t="inlineStr">
        <is>
          <t>Marka Bilinirliği (Erişim)</t>
        </is>
      </c>
      <c r="F720" s="43" t="inlineStr">
        <is>
          <t>Bilinirlik - Kurumsal (ÖSS-TSS)</t>
        </is>
      </c>
      <c r="G720" s="83" t="n">
        <v>1333.5</v>
      </c>
      <c r="H720" s="43" t="inlineStr">
        <is>
          <t>Erişim</t>
        </is>
      </c>
      <c r="I720" s="46" t="n">
        <v>88613</v>
      </c>
      <c r="J720" s="46" t="n">
        <v>88613</v>
      </c>
      <c r="K720" s="46" t="n">
        <v>93530</v>
      </c>
    </row>
    <row r="721">
      <c r="A721" s="47" t="inlineStr">
        <is>
          <t>Doruk Hastaneleri</t>
        </is>
      </c>
      <c r="B721" s="47" t="inlineStr">
        <is>
          <t>Gebe-Doğum Bilinirlik</t>
        </is>
      </c>
      <c r="C721" s="50" t="inlineStr">
        <is>
          <t>2026-07-08</t>
        </is>
      </c>
      <c r="D721" s="47" t="inlineStr">
        <is>
          <t>Hastane (Kurumsal)</t>
        </is>
      </c>
      <c r="E721" s="47" t="inlineStr">
        <is>
          <t>Marka Bilinirliği (Erişim)</t>
        </is>
      </c>
      <c r="F721" s="47" t="inlineStr">
        <is>
          <t>Bilinirlik - Gebe/Doğum</t>
        </is>
      </c>
      <c r="G721" s="84" t="n">
        <v>1280.72</v>
      </c>
      <c r="H721" s="47" t="inlineStr">
        <is>
          <t>Erişim</t>
        </is>
      </c>
      <c r="I721" s="50" t="n">
        <v>138269</v>
      </c>
      <c r="J721" s="50" t="n">
        <v>138269</v>
      </c>
      <c r="K721" s="50" t="n">
        <v>138923</v>
      </c>
    </row>
    <row r="722">
      <c r="A722" s="43" t="inlineStr">
        <is>
          <t>Doruk Hastaneleri</t>
        </is>
      </c>
      <c r="B722" s="43" t="inlineStr">
        <is>
          <t>ÖSS-TSS - marka bilinirliği</t>
        </is>
      </c>
      <c r="C722" s="46" t="inlineStr">
        <is>
          <t>2026-06-24</t>
        </is>
      </c>
      <c r="D722" s="43" t="inlineStr">
        <is>
          <t>Hastane (Kurumsal)</t>
        </is>
      </c>
      <c r="E722" s="43" t="inlineStr">
        <is>
          <t>Marka Bilinirliği (Erişim)</t>
        </is>
      </c>
      <c r="F722" s="43" t="inlineStr">
        <is>
          <t>Bilinirlik - Kurumsal (ÖSS-TSS)</t>
        </is>
      </c>
      <c r="G722" s="83" t="n">
        <v>1252.95</v>
      </c>
      <c r="H722" s="43" t="inlineStr">
        <is>
          <t>Erişim</t>
        </is>
      </c>
      <c r="I722" s="46" t="n">
        <v>69595</v>
      </c>
      <c r="J722" s="46" t="n">
        <v>69595</v>
      </c>
      <c r="K722" s="46" t="n">
        <v>72188</v>
      </c>
    </row>
    <row r="723">
      <c r="A723" s="47" t="inlineStr">
        <is>
          <t>Doruk Hastaneleri</t>
        </is>
      </c>
      <c r="B723" s="47" t="inlineStr">
        <is>
          <t>ÖSS-TSS - marka bilinirliği</t>
        </is>
      </c>
      <c r="C723" s="50" t="inlineStr">
        <is>
          <t>2026-07-09</t>
        </is>
      </c>
      <c r="D723" s="47" t="inlineStr">
        <is>
          <t>Hastane (Kurumsal)</t>
        </is>
      </c>
      <c r="E723" s="47" t="inlineStr">
        <is>
          <t>Marka Bilinirliği (Erişim)</t>
        </is>
      </c>
      <c r="F723" s="47" t="inlineStr">
        <is>
          <t>Bilinirlik - Kurumsal (ÖSS-TSS)</t>
        </is>
      </c>
      <c r="G723" s="84" t="n">
        <v>1197.21</v>
      </c>
      <c r="H723" s="47" t="inlineStr">
        <is>
          <t>Erişim</t>
        </is>
      </c>
      <c r="I723" s="50" t="n">
        <v>95550</v>
      </c>
      <c r="J723" s="50" t="n">
        <v>95550</v>
      </c>
      <c r="K723" s="50" t="n">
        <v>95576</v>
      </c>
    </row>
    <row r="724">
      <c r="A724" s="43" t="inlineStr">
        <is>
          <t>Doruk Hastaneleri</t>
        </is>
      </c>
      <c r="B724" s="43" t="inlineStr">
        <is>
          <t>Gebe-Doğum Bilinirlik</t>
        </is>
      </c>
      <c r="C724" s="46" t="inlineStr">
        <is>
          <t>2026-07-01</t>
        </is>
      </c>
      <c r="D724" s="43" t="inlineStr">
        <is>
          <t>Hastane (Kurumsal)</t>
        </is>
      </c>
      <c r="E724" s="43" t="inlineStr">
        <is>
          <t>Marka Bilinirliği (Erişim)</t>
        </is>
      </c>
      <c r="F724" s="43" t="inlineStr">
        <is>
          <t>Bilinirlik - Gebe/Doğum</t>
        </is>
      </c>
      <c r="G724" s="83" t="n">
        <v>1179.06</v>
      </c>
      <c r="H724" s="43" t="inlineStr">
        <is>
          <t>Erişim</t>
        </is>
      </c>
      <c r="I724" s="46" t="n">
        <v>120878</v>
      </c>
      <c r="J724" s="46" t="n">
        <v>120878</v>
      </c>
      <c r="K724" s="46" t="n">
        <v>120878</v>
      </c>
    </row>
    <row r="725">
      <c r="A725" s="47" t="inlineStr">
        <is>
          <t>Doruk Hastaneleri</t>
        </is>
      </c>
      <c r="B725" s="47" t="inlineStr">
        <is>
          <t>Gebe-Doğum Bilinirlik</t>
        </is>
      </c>
      <c r="C725" s="50" t="inlineStr">
        <is>
          <t>2026-07-02</t>
        </is>
      </c>
      <c r="D725" s="47" t="inlineStr">
        <is>
          <t>Hastane (Kurumsal)</t>
        </is>
      </c>
      <c r="E725" s="47" t="inlineStr">
        <is>
          <t>Marka Bilinirliği (Erişim)</t>
        </is>
      </c>
      <c r="F725" s="47" t="inlineStr">
        <is>
          <t>Bilinirlik - Gebe/Doğum</t>
        </is>
      </c>
      <c r="G725" s="84" t="n">
        <v>1065.31</v>
      </c>
      <c r="H725" s="47" t="inlineStr">
        <is>
          <t>Erişim</t>
        </is>
      </c>
      <c r="I725" s="50" t="n">
        <v>114067</v>
      </c>
      <c r="J725" s="50" t="n">
        <v>114067</v>
      </c>
      <c r="K725" s="50" t="n">
        <v>118531</v>
      </c>
    </row>
    <row r="726">
      <c r="A726" s="43" t="inlineStr">
        <is>
          <t>Doruk Hastaneleri</t>
        </is>
      </c>
      <c r="B726" s="43" t="inlineStr">
        <is>
          <t>Gebe-Doğum Bilinirlik</t>
        </is>
      </c>
      <c r="C726" s="46" t="inlineStr">
        <is>
          <t>2026-06-28</t>
        </is>
      </c>
      <c r="D726" s="43" t="inlineStr">
        <is>
          <t>Hastane (Kurumsal)</t>
        </is>
      </c>
      <c r="E726" s="43" t="inlineStr">
        <is>
          <t>Marka Bilinirliği (Erişim)</t>
        </is>
      </c>
      <c r="F726" s="43" t="inlineStr">
        <is>
          <t>Bilinirlik - Gebe/Doğum</t>
        </is>
      </c>
      <c r="G726" s="83" t="n">
        <v>1052.72</v>
      </c>
      <c r="H726" s="43" t="inlineStr">
        <is>
          <t>Erişim</t>
        </is>
      </c>
      <c r="I726" s="46" t="n">
        <v>81532</v>
      </c>
      <c r="J726" s="46" t="n">
        <v>81532</v>
      </c>
      <c r="K726" s="46" t="n">
        <v>81532</v>
      </c>
    </row>
    <row r="727">
      <c r="A727" s="47" t="inlineStr">
        <is>
          <t>Doruk Hastaneleri</t>
        </is>
      </c>
      <c r="B727" s="47" t="inlineStr">
        <is>
          <t>Gebe-Doğum Bilinirlik</t>
        </is>
      </c>
      <c r="C727" s="50" t="inlineStr">
        <is>
          <t>2026-07-16</t>
        </is>
      </c>
      <c r="D727" s="47" t="inlineStr">
        <is>
          <t>Hastane (Kurumsal)</t>
        </is>
      </c>
      <c r="E727" s="47" t="inlineStr">
        <is>
          <t>Marka Bilinirliği (Erişim)</t>
        </is>
      </c>
      <c r="F727" s="47" t="inlineStr">
        <is>
          <t>Bilinirlik - Gebe/Doğum</t>
        </is>
      </c>
      <c r="G727" s="84" t="n">
        <v>1027.51</v>
      </c>
      <c r="H727" s="47" t="inlineStr">
        <is>
          <t>Erişim</t>
        </is>
      </c>
      <c r="I727" s="50" t="n">
        <v>112899</v>
      </c>
      <c r="J727" s="50" t="n">
        <v>112899</v>
      </c>
      <c r="K727" s="50" t="n">
        <v>112899</v>
      </c>
    </row>
    <row r="728">
      <c r="A728" s="43" t="inlineStr">
        <is>
          <t>Doruk Hastaneleri</t>
        </is>
      </c>
      <c r="B728" s="43" t="inlineStr">
        <is>
          <t>Gebe-Doğum Bilinirlik</t>
        </is>
      </c>
      <c r="C728" s="46" t="inlineStr">
        <is>
          <t>2026-07-03</t>
        </is>
      </c>
      <c r="D728" s="43" t="inlineStr">
        <is>
          <t>Hastane (Kurumsal)</t>
        </is>
      </c>
      <c r="E728" s="43" t="inlineStr">
        <is>
          <t>Marka Bilinirliği (Erişim)</t>
        </is>
      </c>
      <c r="F728" s="43" t="inlineStr">
        <is>
          <t>Bilinirlik - Gebe/Doğum</t>
        </is>
      </c>
      <c r="G728" s="83" t="n">
        <v>1024.33</v>
      </c>
      <c r="H728" s="43" t="inlineStr">
        <is>
          <t>Erişim</t>
        </is>
      </c>
      <c r="I728" s="46" t="n">
        <v>115049</v>
      </c>
      <c r="J728" s="46" t="n">
        <v>115049</v>
      </c>
      <c r="K728" s="46" t="n">
        <v>115049</v>
      </c>
    </row>
    <row r="729">
      <c r="A729" s="47" t="inlineStr">
        <is>
          <t>Doruk Hastaneleri</t>
        </is>
      </c>
      <c r="B729" s="47" t="inlineStr">
        <is>
          <t>Gebe-Doğum Bilinirlik</t>
        </is>
      </c>
      <c r="C729" s="50" t="inlineStr">
        <is>
          <t>2026-07-04</t>
        </is>
      </c>
      <c r="D729" s="47" t="inlineStr">
        <is>
          <t>Hastane (Kurumsal)</t>
        </is>
      </c>
      <c r="E729" s="47" t="inlineStr">
        <is>
          <t>Marka Bilinirliği (Erişim)</t>
        </is>
      </c>
      <c r="F729" s="47" t="inlineStr">
        <is>
          <t>Bilinirlik - Gebe/Doğum</t>
        </is>
      </c>
      <c r="G729" s="84" t="n">
        <v>1019.36</v>
      </c>
      <c r="H729" s="47" t="inlineStr">
        <is>
          <t>Erişim</t>
        </is>
      </c>
      <c r="I729" s="50" t="n">
        <v>94501</v>
      </c>
      <c r="J729" s="50" t="n">
        <v>94501</v>
      </c>
      <c r="K729" s="50" t="n">
        <v>97112</v>
      </c>
    </row>
    <row r="730">
      <c r="A730" s="43" t="inlineStr">
        <is>
          <t>Doruk Hastaneleri</t>
        </is>
      </c>
      <c r="B730" s="43" t="inlineStr">
        <is>
          <t>ÖSS-TSS - marka bilinirliği</t>
        </is>
      </c>
      <c r="C730" s="46" t="inlineStr">
        <is>
          <t>2026-07-05</t>
        </is>
      </c>
      <c r="D730" s="43" t="inlineStr">
        <is>
          <t>Hastane (Kurumsal)</t>
        </is>
      </c>
      <c r="E730" s="43" t="inlineStr">
        <is>
          <t>Marka Bilinirliği (Erişim)</t>
        </is>
      </c>
      <c r="F730" s="43" t="inlineStr">
        <is>
          <t>Bilinirlik - Kurumsal (ÖSS-TSS)</t>
        </is>
      </c>
      <c r="G730" s="83" t="n">
        <v>1015.44</v>
      </c>
      <c r="H730" s="43" t="inlineStr">
        <is>
          <t>Erişim</t>
        </is>
      </c>
      <c r="I730" s="46" t="n">
        <v>78284</v>
      </c>
      <c r="J730" s="46" t="n">
        <v>78284</v>
      </c>
      <c r="K730" s="46" t="n">
        <v>79522</v>
      </c>
    </row>
    <row r="731">
      <c r="A731" s="47" t="inlineStr">
        <is>
          <t>Doruk Hastaneleri</t>
        </is>
      </c>
      <c r="B731" s="47" t="inlineStr">
        <is>
          <t>Doktor - Bilinirlik Kampanyası - Nilüfer</t>
        </is>
      </c>
      <c r="C731" s="50" t="inlineStr">
        <is>
          <t>2026-07-11</t>
        </is>
      </c>
      <c r="D731" s="47" t="inlineStr">
        <is>
          <t>Hastane (Kurumsal)</t>
        </is>
      </c>
      <c r="E731" s="47" t="inlineStr">
        <is>
          <t>Marka Bilinirliği (Erişim)</t>
        </is>
      </c>
      <c r="F731" s="47" t="inlineStr">
        <is>
          <t>Bilinirlik - Doktor Tanıtım</t>
        </is>
      </c>
      <c r="G731" s="84" t="n">
        <v>1004.04</v>
      </c>
      <c r="H731" s="47" t="inlineStr">
        <is>
          <t>Erişim</t>
        </is>
      </c>
      <c r="I731" s="50" t="n">
        <v>103395</v>
      </c>
      <c r="J731" s="50" t="n">
        <v>103395</v>
      </c>
      <c r="K731" s="50" t="n">
        <v>115427</v>
      </c>
    </row>
    <row r="732">
      <c r="A732" s="43" t="inlineStr">
        <is>
          <t>Doruk Hastaneleri</t>
        </is>
      </c>
      <c r="B732" s="43" t="inlineStr">
        <is>
          <t>Gebe-Doğum Bilinirlik</t>
        </is>
      </c>
      <c r="C732" s="46" t="inlineStr">
        <is>
          <t>2026-06-23</t>
        </is>
      </c>
      <c r="D732" s="43" t="inlineStr">
        <is>
          <t>Hastane (Kurumsal)</t>
        </is>
      </c>
      <c r="E732" s="43" t="inlineStr">
        <is>
          <t>Marka Bilinirliği (Erişim)</t>
        </is>
      </c>
      <c r="F732" s="43" t="inlineStr">
        <is>
          <t>Bilinirlik - Gebe/Doğum</t>
        </is>
      </c>
      <c r="G732" s="83" t="n">
        <v>991.9299999999999</v>
      </c>
      <c r="H732" s="43" t="inlineStr">
        <is>
          <t>Erişim</t>
        </is>
      </c>
      <c r="I732" s="46" t="n">
        <v>77184</v>
      </c>
      <c r="J732" s="46" t="n">
        <v>77184</v>
      </c>
      <c r="K732" s="46" t="n">
        <v>77184</v>
      </c>
    </row>
    <row r="733">
      <c r="A733" s="47" t="inlineStr">
        <is>
          <t>Doruk Hastaneleri</t>
        </is>
      </c>
      <c r="B733" s="47" t="inlineStr">
        <is>
          <t>Gebe-Doğum Bilinirlik</t>
        </is>
      </c>
      <c r="C733" s="50" t="inlineStr">
        <is>
          <t>2026-07-13</t>
        </is>
      </c>
      <c r="D733" s="47" t="inlineStr">
        <is>
          <t>Hastane (Kurumsal)</t>
        </is>
      </c>
      <c r="E733" s="47" t="inlineStr">
        <is>
          <t>Marka Bilinirliği (Erişim)</t>
        </is>
      </c>
      <c r="F733" s="47" t="inlineStr">
        <is>
          <t>Bilinirlik - Gebe/Doğum</t>
        </is>
      </c>
      <c r="G733" s="84" t="n">
        <v>964.29</v>
      </c>
      <c r="H733" s="47" t="inlineStr">
        <is>
          <t>Erişim</t>
        </is>
      </c>
      <c r="I733" s="50" t="n">
        <v>106345</v>
      </c>
      <c r="J733" s="50" t="n">
        <v>106345</v>
      </c>
      <c r="K733" s="50" t="n">
        <v>106345</v>
      </c>
    </row>
    <row r="734">
      <c r="A734" s="43" t="inlineStr">
        <is>
          <t>Doruk Hastaneleri</t>
        </is>
      </c>
      <c r="B734" s="43" t="inlineStr">
        <is>
          <t>Doktor - Bilinirlik Kampanyası - Nilüfer</t>
        </is>
      </c>
      <c r="C734" s="46" t="inlineStr">
        <is>
          <t>2026-07-06</t>
        </is>
      </c>
      <c r="D734" s="43" t="inlineStr">
        <is>
          <t>Hastane (Kurumsal)</t>
        </is>
      </c>
      <c r="E734" s="43" t="inlineStr">
        <is>
          <t>Marka Bilinirliği (Erişim)</t>
        </is>
      </c>
      <c r="F734" s="43" t="inlineStr">
        <is>
          <t>Bilinirlik - Doktor Tanıtım</t>
        </is>
      </c>
      <c r="G734" s="83" t="n">
        <v>934.55</v>
      </c>
      <c r="H734" s="43" t="inlineStr">
        <is>
          <t>Erişim</t>
        </is>
      </c>
      <c r="I734" s="46" t="n">
        <v>103745</v>
      </c>
      <c r="J734" s="46" t="n">
        <v>103745</v>
      </c>
      <c r="K734" s="46" t="n">
        <v>110246</v>
      </c>
    </row>
    <row r="735">
      <c r="A735" s="47" t="inlineStr">
        <is>
          <t>Doruk Hastaneleri</t>
        </is>
      </c>
      <c r="B735" s="47" t="inlineStr">
        <is>
          <t>Gebe-Doğum Bilinirlik</t>
        </is>
      </c>
      <c r="C735" s="50" t="inlineStr">
        <is>
          <t>2026-06-30</t>
        </is>
      </c>
      <c r="D735" s="47" t="inlineStr">
        <is>
          <t>Hastane (Kurumsal)</t>
        </is>
      </c>
      <c r="E735" s="47" t="inlineStr">
        <is>
          <t>Marka Bilinirliği (Erişim)</t>
        </is>
      </c>
      <c r="F735" s="47" t="inlineStr">
        <is>
          <t>Bilinirlik - Gebe/Doğum</t>
        </is>
      </c>
      <c r="G735" s="84" t="n">
        <v>882.4400000000001</v>
      </c>
      <c r="H735" s="47" t="inlineStr">
        <is>
          <t>Erişim</t>
        </is>
      </c>
      <c r="I735" s="50" t="n">
        <v>63200</v>
      </c>
      <c r="J735" s="50" t="n">
        <v>63200</v>
      </c>
      <c r="K735" s="50" t="n">
        <v>63200</v>
      </c>
    </row>
    <row r="736">
      <c r="A736" s="43" t="inlineStr">
        <is>
          <t>Doruk Hastaneleri</t>
        </is>
      </c>
      <c r="B736" s="43" t="inlineStr">
        <is>
          <t>Doktor - Bilinirlik Kampanyası - Nilüfer</t>
        </is>
      </c>
      <c r="C736" s="46" t="inlineStr">
        <is>
          <t>2026-07-21</t>
        </is>
      </c>
      <c r="D736" s="43" t="inlineStr">
        <is>
          <t>Hastane (Kurumsal)</t>
        </is>
      </c>
      <c r="E736" s="43" t="inlineStr">
        <is>
          <t>Marka Bilinirliği (Erişim)</t>
        </is>
      </c>
      <c r="F736" s="43" t="inlineStr">
        <is>
          <t>Bilinirlik - Doktor Tanıtım</t>
        </is>
      </c>
      <c r="G736" s="83" t="n">
        <v>824.79</v>
      </c>
      <c r="H736" s="43" t="inlineStr">
        <is>
          <t>Erişim</t>
        </is>
      </c>
      <c r="I736" s="46" t="n">
        <v>90307</v>
      </c>
      <c r="J736" s="46" t="n">
        <v>90307</v>
      </c>
      <c r="K736" s="46" t="n">
        <v>95324</v>
      </c>
    </row>
    <row r="737">
      <c r="A737" s="47" t="inlineStr">
        <is>
          <t>Doruk Hastaneleri</t>
        </is>
      </c>
      <c r="B737" s="47" t="inlineStr">
        <is>
          <t>Gebe-Doğum Bilinirlik</t>
        </is>
      </c>
      <c r="C737" s="50" t="inlineStr">
        <is>
          <t>2026-07-20</t>
        </is>
      </c>
      <c r="D737" s="47" t="inlineStr">
        <is>
          <t>Hastane (Kurumsal)</t>
        </is>
      </c>
      <c r="E737" s="47" t="inlineStr">
        <is>
          <t>Marka Bilinirliği (Erişim)</t>
        </is>
      </c>
      <c r="F737" s="47" t="inlineStr">
        <is>
          <t>Bilinirlik - Gebe/Doğum</t>
        </is>
      </c>
      <c r="G737" s="84" t="n">
        <v>812.9299999999999</v>
      </c>
      <c r="H737" s="47" t="inlineStr">
        <is>
          <t>Erişim</t>
        </is>
      </c>
      <c r="I737" s="50" t="n">
        <v>87768</v>
      </c>
      <c r="J737" s="50" t="n">
        <v>87768</v>
      </c>
      <c r="K737" s="50" t="n">
        <v>87768</v>
      </c>
    </row>
    <row r="738">
      <c r="A738" s="43" t="inlineStr">
        <is>
          <t>Doruk Hastaneleri</t>
        </is>
      </c>
      <c r="B738" s="43" t="inlineStr">
        <is>
          <t>Gebe-Doğum Bilinirlik</t>
        </is>
      </c>
      <c r="C738" s="46" t="inlineStr">
        <is>
          <t>2026-06-29</t>
        </is>
      </c>
      <c r="D738" s="43" t="inlineStr">
        <is>
          <t>Hastane (Kurumsal)</t>
        </is>
      </c>
      <c r="E738" s="43" t="inlineStr">
        <is>
          <t>Marka Bilinirliği (Erişim)</t>
        </is>
      </c>
      <c r="F738" s="43" t="inlineStr">
        <is>
          <t>Bilinirlik - Gebe/Doğum</t>
        </is>
      </c>
      <c r="G738" s="83" t="n">
        <v>776.67</v>
      </c>
      <c r="H738" s="43" t="inlineStr">
        <is>
          <t>Erişim</t>
        </is>
      </c>
      <c r="I738" s="46" t="n">
        <v>61065</v>
      </c>
      <c r="J738" s="46" t="n">
        <v>61065</v>
      </c>
      <c r="K738" s="46" t="n">
        <v>61410</v>
      </c>
    </row>
    <row r="739">
      <c r="A739" s="47" t="inlineStr">
        <is>
          <t>Doruk Hastaneleri</t>
        </is>
      </c>
      <c r="B739" s="47" t="inlineStr">
        <is>
          <t>Gebe-Doğum Bilinirlik</t>
        </is>
      </c>
      <c r="C739" s="50" t="inlineStr">
        <is>
          <t>2026-07-09</t>
        </is>
      </c>
      <c r="D739" s="47" t="inlineStr">
        <is>
          <t>Hastane (Kurumsal)</t>
        </is>
      </c>
      <c r="E739" s="47" t="inlineStr">
        <is>
          <t>Marka Bilinirliği (Erişim)</t>
        </is>
      </c>
      <c r="F739" s="47" t="inlineStr">
        <is>
          <t>Bilinirlik - Gebe/Doğum</t>
        </is>
      </c>
      <c r="G739" s="84" t="n">
        <v>725.66</v>
      </c>
      <c r="H739" s="47" t="inlineStr">
        <is>
          <t>Erişim</t>
        </is>
      </c>
      <c r="I739" s="50" t="n">
        <v>80274</v>
      </c>
      <c r="J739" s="50" t="n">
        <v>80274</v>
      </c>
      <c r="K739" s="50" t="n">
        <v>80274</v>
      </c>
    </row>
    <row r="740">
      <c r="A740" s="43" t="inlineStr">
        <is>
          <t>Doruk Hastaneleri</t>
        </is>
      </c>
      <c r="B740" s="43" t="inlineStr">
        <is>
          <t>Doktor - Bilinirlik Kampanyası - Nilüfer</t>
        </is>
      </c>
      <c r="C740" s="46" t="inlineStr">
        <is>
          <t>2026-07-14</t>
        </is>
      </c>
      <c r="D740" s="43" t="inlineStr">
        <is>
          <t>Hastane (Kurumsal)</t>
        </is>
      </c>
      <c r="E740" s="43" t="inlineStr">
        <is>
          <t>Marka Bilinirliği (Erişim)</t>
        </is>
      </c>
      <c r="F740" s="43" t="inlineStr">
        <is>
          <t>Bilinirlik - Doktor Tanıtım</t>
        </is>
      </c>
      <c r="G740" s="83" t="n">
        <v>663.13</v>
      </c>
      <c r="H740" s="43" t="inlineStr">
        <is>
          <t>Erişim</t>
        </is>
      </c>
      <c r="I740" s="46" t="n">
        <v>78045</v>
      </c>
      <c r="J740" s="46" t="n">
        <v>78045</v>
      </c>
      <c r="K740" s="46" t="n">
        <v>79411</v>
      </c>
    </row>
    <row r="741">
      <c r="A741" s="47" t="inlineStr">
        <is>
          <t>Doruk Hastaneleri</t>
        </is>
      </c>
      <c r="B741" s="47" t="inlineStr">
        <is>
          <t>Gebe-Doğum Bilinirlik</t>
        </is>
      </c>
      <c r="C741" s="50" t="inlineStr">
        <is>
          <t>2026-06-24</t>
        </is>
      </c>
      <c r="D741" s="47" t="inlineStr">
        <is>
          <t>Hastane (Kurumsal)</t>
        </is>
      </c>
      <c r="E741" s="47" t="inlineStr">
        <is>
          <t>Marka Bilinirliği (Erişim)</t>
        </is>
      </c>
      <c r="F741" s="47" t="inlineStr">
        <is>
          <t>Bilinirlik - Gebe/Doğum</t>
        </is>
      </c>
      <c r="G741" s="84" t="n">
        <v>661.38</v>
      </c>
      <c r="H741" s="47" t="inlineStr">
        <is>
          <t>Erişim</t>
        </is>
      </c>
      <c r="I741" s="50" t="n">
        <v>39001</v>
      </c>
      <c r="J741" s="50" t="n">
        <v>39001</v>
      </c>
      <c r="K741" s="50" t="n">
        <v>39526</v>
      </c>
    </row>
    <row r="742">
      <c r="A742" s="43" t="inlineStr">
        <is>
          <t>Doruk Hastaneleri</t>
        </is>
      </c>
      <c r="B742" s="43" t="inlineStr">
        <is>
          <t>Doktor - Bilinirlik Kampanyası - Yıldırım</t>
        </is>
      </c>
      <c r="C742" s="46" t="inlineStr">
        <is>
          <t>2026-07-10</t>
        </is>
      </c>
      <c r="D742" s="43" t="inlineStr">
        <is>
          <t>Hastane (Kurumsal)</t>
        </is>
      </c>
      <c r="E742" s="43" t="inlineStr">
        <is>
          <t>Marka Bilinirliği (Erişim)</t>
        </is>
      </c>
      <c r="F742" s="43" t="inlineStr">
        <is>
          <t>Bilinirlik - Doktor Tanıtım</t>
        </is>
      </c>
      <c r="G742" s="83" t="n">
        <v>627.58</v>
      </c>
      <c r="H742" s="43" t="inlineStr">
        <is>
          <t>Erişim</t>
        </is>
      </c>
      <c r="I742" s="46" t="n">
        <v>71863</v>
      </c>
      <c r="J742" s="46" t="n">
        <v>71863</v>
      </c>
      <c r="K742" s="46" t="n">
        <v>73260</v>
      </c>
    </row>
    <row r="743">
      <c r="A743" s="47" t="inlineStr">
        <is>
          <t>Doruk Hastaneleri</t>
        </is>
      </c>
      <c r="B743" s="47" t="inlineStr">
        <is>
          <t>Gebe-Doğum Bilinirlik</t>
        </is>
      </c>
      <c r="C743" s="50" t="inlineStr">
        <is>
          <t>2026-07-22</t>
        </is>
      </c>
      <c r="D743" s="47" t="inlineStr">
        <is>
          <t>Hastane (Kurumsal)</t>
        </is>
      </c>
      <c r="E743" s="47" t="inlineStr">
        <is>
          <t>Marka Bilinirliği (Erişim)</t>
        </is>
      </c>
      <c r="F743" s="47" t="inlineStr">
        <is>
          <t>Bilinirlik - Gebe/Doğum</t>
        </is>
      </c>
      <c r="G743" s="84" t="n">
        <v>626</v>
      </c>
      <c r="H743" s="47" t="inlineStr">
        <is>
          <t>Erişim</t>
        </is>
      </c>
      <c r="I743" s="50" t="n">
        <v>61371</v>
      </c>
      <c r="J743" s="50" t="n">
        <v>61371</v>
      </c>
      <c r="K743" s="50" t="n">
        <v>63911</v>
      </c>
    </row>
    <row r="744">
      <c r="A744" s="43" t="inlineStr">
        <is>
          <t>Doruk Hastaneleri</t>
        </is>
      </c>
      <c r="B744" s="43" t="inlineStr">
        <is>
          <t>Gebe-Doğum Bilinirlik</t>
        </is>
      </c>
      <c r="C744" s="46" t="inlineStr">
        <is>
          <t>2026-07-17</t>
        </is>
      </c>
      <c r="D744" s="43" t="inlineStr">
        <is>
          <t>Hastane (Kurumsal)</t>
        </is>
      </c>
      <c r="E744" s="43" t="inlineStr">
        <is>
          <t>Marka Bilinirliği (Erişim)</t>
        </is>
      </c>
      <c r="F744" s="43" t="inlineStr">
        <is>
          <t>Bilinirlik - Gebe/Doğum</t>
        </is>
      </c>
      <c r="G744" s="83" t="n">
        <v>615.6799999999999</v>
      </c>
      <c r="H744" s="43" t="inlineStr">
        <is>
          <t>Erişim</t>
        </is>
      </c>
      <c r="I744" s="46" t="n">
        <v>66789</v>
      </c>
      <c r="J744" s="46" t="n">
        <v>66789</v>
      </c>
      <c r="K744" s="46" t="n">
        <v>67160</v>
      </c>
    </row>
    <row r="745">
      <c r="A745" s="47" t="inlineStr">
        <is>
          <t>Doruk Hastaneleri</t>
        </is>
      </c>
      <c r="B745" s="47" t="inlineStr">
        <is>
          <t>ÖSS-TSS - marka bilinirliği</t>
        </is>
      </c>
      <c r="C745" s="50" t="inlineStr">
        <is>
          <t>2026-07-06</t>
        </is>
      </c>
      <c r="D745" s="47" t="inlineStr">
        <is>
          <t>Hastane (Kurumsal)</t>
        </is>
      </c>
      <c r="E745" s="47" t="inlineStr">
        <is>
          <t>Marka Bilinirliği (Erişim)</t>
        </is>
      </c>
      <c r="F745" s="47" t="inlineStr">
        <is>
          <t>Bilinirlik - Kurumsal (ÖSS-TSS)</t>
        </is>
      </c>
      <c r="G745" s="84" t="n">
        <v>490.19</v>
      </c>
      <c r="H745" s="47" t="inlineStr">
        <is>
          <t>Erişim</t>
        </is>
      </c>
      <c r="I745" s="50" t="n">
        <v>34375</v>
      </c>
      <c r="J745" s="50" t="n">
        <v>34375</v>
      </c>
      <c r="K745" s="50" t="n">
        <v>35961</v>
      </c>
    </row>
    <row r="746">
      <c r="A746" s="43" t="inlineStr">
        <is>
          <t>Doruk Hastaneleri</t>
        </is>
      </c>
      <c r="B746" s="43" t="inlineStr">
        <is>
          <t>Gebe-Doğum Bilinirlik</t>
        </is>
      </c>
      <c r="C746" s="46" t="inlineStr">
        <is>
          <t>2026-07-05</t>
        </is>
      </c>
      <c r="D746" s="43" t="inlineStr">
        <is>
          <t>Hastane (Kurumsal)</t>
        </is>
      </c>
      <c r="E746" s="43" t="inlineStr">
        <is>
          <t>Marka Bilinirliği (Erişim)</t>
        </is>
      </c>
      <c r="F746" s="43" t="inlineStr">
        <is>
          <t>Bilinirlik - Gebe/Doğum</t>
        </is>
      </c>
      <c r="G746" s="83" t="n">
        <v>444.94</v>
      </c>
      <c r="H746" s="43" t="inlineStr">
        <is>
          <t>Erişim</t>
        </is>
      </c>
      <c r="I746" s="46" t="n">
        <v>47218</v>
      </c>
      <c r="J746" s="46" t="n">
        <v>47218</v>
      </c>
      <c r="K746" s="46" t="n">
        <v>47218</v>
      </c>
    </row>
    <row r="747">
      <c r="A747" s="47" t="inlineStr">
        <is>
          <t>Doruk Hastaneleri</t>
        </is>
      </c>
      <c r="B747" s="47" t="inlineStr">
        <is>
          <t>ÖSS-TSS - marka bilinirliği</t>
        </is>
      </c>
      <c r="C747" s="50" t="inlineStr">
        <is>
          <t>2026-07-14</t>
        </is>
      </c>
      <c r="D747" s="47" t="inlineStr">
        <is>
          <t>Hastane (Kurumsal)</t>
        </is>
      </c>
      <c r="E747" s="47" t="inlineStr">
        <is>
          <t>Marka Bilinirliği (Erişim)</t>
        </is>
      </c>
      <c r="F747" s="47" t="inlineStr">
        <is>
          <t>Bilinirlik - Kurumsal (ÖSS-TSS)</t>
        </is>
      </c>
      <c r="G747" s="84" t="n">
        <v>432.96</v>
      </c>
      <c r="H747" s="47" t="inlineStr">
        <is>
          <t>Erişim</t>
        </is>
      </c>
      <c r="I747" s="50" t="n">
        <v>31763</v>
      </c>
      <c r="J747" s="50" t="n">
        <v>31763</v>
      </c>
      <c r="K747" s="50" t="n">
        <v>31787</v>
      </c>
    </row>
    <row r="748">
      <c r="A748" s="43" t="inlineStr">
        <is>
          <t>Doruk Hastaneleri</t>
        </is>
      </c>
      <c r="B748" s="43" t="inlineStr">
        <is>
          <t>ÖSS-TSS - marka bilinirliği</t>
        </is>
      </c>
      <c r="C748" s="46" t="inlineStr">
        <is>
          <t>2026-07-11</t>
        </is>
      </c>
      <c r="D748" s="43" t="inlineStr">
        <is>
          <t>Hastane (Kurumsal)</t>
        </is>
      </c>
      <c r="E748" s="43" t="inlineStr">
        <is>
          <t>Marka Bilinirliği (Erişim)</t>
        </is>
      </c>
      <c r="F748" s="43" t="inlineStr">
        <is>
          <t>Bilinirlik - Kurumsal (ÖSS-TSS)</t>
        </is>
      </c>
      <c r="G748" s="83" t="n">
        <v>430.39</v>
      </c>
      <c r="H748" s="43" t="inlineStr">
        <is>
          <t>Erişim</t>
        </is>
      </c>
      <c r="I748" s="46" t="n">
        <v>33031</v>
      </c>
      <c r="J748" s="46" t="n">
        <v>33031</v>
      </c>
      <c r="K748" s="46" t="n">
        <v>35052</v>
      </c>
    </row>
    <row r="749">
      <c r="A749" s="47" t="inlineStr">
        <is>
          <t>Doruk Hastaneleri</t>
        </is>
      </c>
      <c r="B749" s="47" t="inlineStr">
        <is>
          <t>ÖSS-TSS - marka bilinirliği</t>
        </is>
      </c>
      <c r="C749" s="50" t="inlineStr">
        <is>
          <t>2026-07-21</t>
        </is>
      </c>
      <c r="D749" s="47" t="inlineStr">
        <is>
          <t>Hastane (Kurumsal)</t>
        </is>
      </c>
      <c r="E749" s="47" t="inlineStr">
        <is>
          <t>Marka Bilinirliği (Erişim)</t>
        </is>
      </c>
      <c r="F749" s="47" t="inlineStr">
        <is>
          <t>Bilinirlik - Kurumsal (ÖSS-TSS)</t>
        </is>
      </c>
      <c r="G749" s="84" t="n">
        <v>408.31</v>
      </c>
      <c r="H749" s="47" t="inlineStr">
        <is>
          <t>Erişim</t>
        </is>
      </c>
      <c r="I749" s="50" t="n">
        <v>36670</v>
      </c>
      <c r="J749" s="50" t="n">
        <v>36670</v>
      </c>
      <c r="K749" s="50" t="n">
        <v>37292</v>
      </c>
    </row>
    <row r="750">
      <c r="A750" s="43" t="inlineStr">
        <is>
          <t>Doruk Hastaneleri</t>
        </is>
      </c>
      <c r="B750" s="43" t="inlineStr">
        <is>
          <t>Doktor - Bilinirlik Kampanyası - Yıldırım</t>
        </is>
      </c>
      <c r="C750" s="46" t="inlineStr">
        <is>
          <t>2026-07-21</t>
        </is>
      </c>
      <c r="D750" s="43" t="inlineStr">
        <is>
          <t>Hastane (Kurumsal)</t>
        </is>
      </c>
      <c r="E750" s="43" t="inlineStr">
        <is>
          <t>Marka Bilinirliği (Erişim)</t>
        </is>
      </c>
      <c r="F750" s="43" t="inlineStr">
        <is>
          <t>Bilinirlik - Doktor Tanıtım</t>
        </is>
      </c>
      <c r="G750" s="83" t="n">
        <v>382.36</v>
      </c>
      <c r="H750" s="43" t="inlineStr">
        <is>
          <t>Erişim</t>
        </is>
      </c>
      <c r="I750" s="46" t="n">
        <v>43326</v>
      </c>
      <c r="J750" s="46" t="n">
        <v>43326</v>
      </c>
      <c r="K750" s="46" t="n">
        <v>44263</v>
      </c>
    </row>
    <row r="751">
      <c r="A751" s="47" t="inlineStr">
        <is>
          <t>Doruk Hastaneleri</t>
        </is>
      </c>
      <c r="B751" s="47" t="inlineStr">
        <is>
          <t>Doktor - Bilinirlik Kampanyası - Yıldırım</t>
        </is>
      </c>
      <c r="C751" s="50" t="inlineStr">
        <is>
          <t>2026-07-14</t>
        </is>
      </c>
      <c r="D751" s="47" t="inlineStr">
        <is>
          <t>Hastane (Kurumsal)</t>
        </is>
      </c>
      <c r="E751" s="47" t="inlineStr">
        <is>
          <t>Marka Bilinirliği (Erişim)</t>
        </is>
      </c>
      <c r="F751" s="47" t="inlineStr">
        <is>
          <t>Bilinirlik - Doktor Tanıtım</t>
        </is>
      </c>
      <c r="G751" s="84" t="n">
        <v>285.05</v>
      </c>
      <c r="H751" s="47" t="inlineStr">
        <is>
          <t>Erişim</t>
        </is>
      </c>
      <c r="I751" s="50" t="n">
        <v>32060</v>
      </c>
      <c r="J751" s="50" t="n">
        <v>32060</v>
      </c>
      <c r="K751" s="50" t="n">
        <v>33950</v>
      </c>
    </row>
    <row r="752">
      <c r="A752" s="43" t="inlineStr">
        <is>
          <t>Doruk Hastaneleri</t>
        </is>
      </c>
      <c r="B752" s="43" t="inlineStr">
        <is>
          <t>Gebe-Doğum Bilinirlik</t>
        </is>
      </c>
      <c r="C752" s="46" t="inlineStr">
        <is>
          <t>2026-07-11</t>
        </is>
      </c>
      <c r="D752" s="43" t="inlineStr">
        <is>
          <t>Hastane (Kurumsal)</t>
        </is>
      </c>
      <c r="E752" s="43" t="inlineStr">
        <is>
          <t>Marka Bilinirliği (Erişim)</t>
        </is>
      </c>
      <c r="F752" s="43" t="inlineStr">
        <is>
          <t>Bilinirlik - Gebe/Doğum</t>
        </is>
      </c>
      <c r="G752" s="83" t="n">
        <v>243.23</v>
      </c>
      <c r="H752" s="43" t="inlineStr">
        <is>
          <t>Erişim</t>
        </is>
      </c>
      <c r="I752" s="46" t="n">
        <v>26611</v>
      </c>
      <c r="J752" s="46" t="n">
        <v>26611</v>
      </c>
      <c r="K752" s="46" t="n">
        <v>27388</v>
      </c>
    </row>
    <row r="753">
      <c r="A753" s="47" t="inlineStr">
        <is>
          <t>Doruk Hastaneleri</t>
        </is>
      </c>
      <c r="B753" s="47" t="inlineStr">
        <is>
          <t>Gebe-Doğum Bilinirlik</t>
        </is>
      </c>
      <c r="C753" s="50" t="inlineStr">
        <is>
          <t>2026-07-21</t>
        </is>
      </c>
      <c r="D753" s="47" t="inlineStr">
        <is>
          <t>Hastane (Kurumsal)</t>
        </is>
      </c>
      <c r="E753" s="47" t="inlineStr">
        <is>
          <t>Marka Bilinirliği (Erişim)</t>
        </is>
      </c>
      <c r="F753" s="47" t="inlineStr">
        <is>
          <t>Bilinirlik - Gebe/Doğum</t>
        </is>
      </c>
      <c r="G753" s="84" t="n">
        <v>234.53</v>
      </c>
      <c r="H753" s="47" t="inlineStr">
        <is>
          <t>Erişim</t>
        </is>
      </c>
      <c r="I753" s="50" t="n">
        <v>26160</v>
      </c>
      <c r="J753" s="50" t="n">
        <v>26160</v>
      </c>
      <c r="K753" s="50" t="n">
        <v>26160</v>
      </c>
    </row>
    <row r="754">
      <c r="A754" s="43" t="inlineStr">
        <is>
          <t>Doruk Hastaneleri</t>
        </is>
      </c>
      <c r="B754" s="43" t="inlineStr">
        <is>
          <t>Gebe-Doğum Bilinirlik</t>
        </is>
      </c>
      <c r="C754" s="46" t="inlineStr">
        <is>
          <t>2026-07-14</t>
        </is>
      </c>
      <c r="D754" s="43" t="inlineStr">
        <is>
          <t>Hastane (Kurumsal)</t>
        </is>
      </c>
      <c r="E754" s="43" t="inlineStr">
        <is>
          <t>Marka Bilinirliği (Erişim)</t>
        </is>
      </c>
      <c r="F754" s="43" t="inlineStr">
        <is>
          <t>Bilinirlik - Gebe/Doğum</t>
        </is>
      </c>
      <c r="G754" s="83" t="n">
        <v>219.15</v>
      </c>
      <c r="H754" s="43" t="inlineStr">
        <is>
          <t>Erişim</t>
        </is>
      </c>
      <c r="I754" s="46" t="n">
        <v>24362</v>
      </c>
      <c r="J754" s="46" t="n">
        <v>24362</v>
      </c>
      <c r="K754" s="46" t="n">
        <v>25117</v>
      </c>
    </row>
    <row r="755">
      <c r="A755" s="47" t="inlineStr">
        <is>
          <t>Doruk Hastaneleri</t>
        </is>
      </c>
      <c r="B755" s="47" t="inlineStr">
        <is>
          <t>Gebe-Doğum Bilinirlik</t>
        </is>
      </c>
      <c r="C755" s="50" t="inlineStr">
        <is>
          <t>2026-07-06</t>
        </is>
      </c>
      <c r="D755" s="47" t="inlineStr">
        <is>
          <t>Hastane (Kurumsal)</t>
        </is>
      </c>
      <c r="E755" s="47" t="inlineStr">
        <is>
          <t>Marka Bilinirliği (Erişim)</t>
        </is>
      </c>
      <c r="F755" s="47" t="inlineStr">
        <is>
          <t>Bilinirlik - Gebe/Doğum</t>
        </is>
      </c>
      <c r="G755" s="84" t="n">
        <v>142.81</v>
      </c>
      <c r="H755" s="47" t="inlineStr">
        <is>
          <t>Erişim</t>
        </is>
      </c>
      <c r="I755" s="50" t="n">
        <v>15743</v>
      </c>
      <c r="J755" s="50" t="n">
        <v>15743</v>
      </c>
      <c r="K755" s="50" t="n">
        <v>16021</v>
      </c>
    </row>
    <row r="756">
      <c r="A756" s="43" t="inlineStr">
        <is>
          <t>Doruk Hastaneleri</t>
        </is>
      </c>
      <c r="B756" s="43" t="inlineStr">
        <is>
          <t>Doktor - Bilinirlik Kampanyası - Yıldırım</t>
        </is>
      </c>
      <c r="C756" s="46" t="inlineStr">
        <is>
          <t>2026-07-08</t>
        </is>
      </c>
      <c r="D756" s="43" t="inlineStr">
        <is>
          <t>Hastane (Kurumsal)</t>
        </is>
      </c>
      <c r="E756" s="43" t="inlineStr">
        <is>
          <t>Marka Bilinirliği (Erişim)</t>
        </is>
      </c>
      <c r="F756" s="43" t="inlineStr">
        <is>
          <t>Bilinirlik - Doktor Tanıtım</t>
        </is>
      </c>
      <c r="G756" s="83" t="n">
        <v>124.1</v>
      </c>
      <c r="H756" s="43" t="inlineStr">
        <is>
          <t>Erişim</t>
        </is>
      </c>
      <c r="I756" s="46" t="n">
        <v>14425</v>
      </c>
      <c r="J756" s="46" t="n">
        <v>14425</v>
      </c>
      <c r="K756" s="46" t="n">
        <v>14425</v>
      </c>
    </row>
    <row r="757">
      <c r="A757" s="47" t="inlineStr">
        <is>
          <t>Doruk Hastaneleri</t>
        </is>
      </c>
      <c r="B757" s="47" t="inlineStr">
        <is>
          <t>Doktor - Bilinirlik Kampanyası - Yıldırım</t>
        </is>
      </c>
      <c r="C757" s="50" t="inlineStr">
        <is>
          <t>2026-07-11</t>
        </is>
      </c>
      <c r="D757" s="47" t="inlineStr">
        <is>
          <t>Hastane (Kurumsal)</t>
        </is>
      </c>
      <c r="E757" s="47" t="inlineStr">
        <is>
          <t>Marka Bilinirliği (Erişim)</t>
        </is>
      </c>
      <c r="F757" s="47" t="inlineStr">
        <is>
          <t>Bilinirlik - Doktor Tanıtım</t>
        </is>
      </c>
      <c r="G757" s="84" t="n">
        <v>93.72</v>
      </c>
      <c r="H757" s="47" t="inlineStr">
        <is>
          <t>Erişim</t>
        </is>
      </c>
      <c r="I757" s="50" t="n">
        <v>10532</v>
      </c>
      <c r="J757" s="50" t="n">
        <v>10532</v>
      </c>
      <c r="K757" s="50" t="n">
        <v>10985</v>
      </c>
    </row>
    <row r="758">
      <c r="A758" s="43" t="inlineStr">
        <is>
          <t>Doruk Hastaneleri</t>
        </is>
      </c>
      <c r="B758" s="43" t="inlineStr">
        <is>
          <t>Doktor - Bilinirlik Kampanyası - Yıldırım</t>
        </is>
      </c>
      <c r="C758" s="46" t="inlineStr">
        <is>
          <t>2026-07-03</t>
        </is>
      </c>
      <c r="D758" s="43" t="inlineStr">
        <is>
          <t>Hastane (Kurumsal)</t>
        </is>
      </c>
      <c r="E758" s="43" t="inlineStr">
        <is>
          <t>Marka Bilinirliği (Erişim)</t>
        </is>
      </c>
      <c r="F758" s="43" t="inlineStr">
        <is>
          <t>Bilinirlik - Doktor Tanıtım</t>
        </is>
      </c>
      <c r="G758" s="83" t="n">
        <v>92.98999999999999</v>
      </c>
      <c r="H758" s="43" t="inlineStr">
        <is>
          <t>Erişim</t>
        </is>
      </c>
      <c r="I758" s="46" t="n">
        <v>10890</v>
      </c>
      <c r="J758" s="46" t="n">
        <v>10890</v>
      </c>
      <c r="K758" s="46" t="n">
        <v>11027</v>
      </c>
    </row>
    <row r="759">
      <c r="A759" s="47" t="inlineStr">
        <is>
          <t>Doruk Hastaneleri</t>
        </is>
      </c>
      <c r="B759" s="47" t="inlineStr">
        <is>
          <t>Doktor - Bilinirlik Kampanyası - Yıldırım</t>
        </is>
      </c>
      <c r="C759" s="50" t="inlineStr">
        <is>
          <t>2026-07-04</t>
        </is>
      </c>
      <c r="D759" s="47" t="inlineStr">
        <is>
          <t>Hastane (Kurumsal)</t>
        </is>
      </c>
      <c r="E759" s="47" t="inlineStr">
        <is>
          <t>Marka Bilinirliği (Erişim)</t>
        </is>
      </c>
      <c r="F759" s="47" t="inlineStr">
        <is>
          <t>Bilinirlik - Doktor Tanıtım</t>
        </is>
      </c>
      <c r="G759" s="84" t="n">
        <v>91.3</v>
      </c>
      <c r="H759" s="47" t="inlineStr">
        <is>
          <t>Erişim</t>
        </is>
      </c>
      <c r="I759" s="50" t="n">
        <v>10356</v>
      </c>
      <c r="J759" s="50" t="n">
        <v>10356</v>
      </c>
      <c r="K759" s="50" t="n">
        <v>10356</v>
      </c>
    </row>
    <row r="760">
      <c r="A760" s="43" t="inlineStr">
        <is>
          <t>Doruk Hastaneleri</t>
        </is>
      </c>
      <c r="B760" s="43" t="inlineStr">
        <is>
          <t>Doktor - Bilinirlik Kampanyası - Yıldırım</t>
        </is>
      </c>
      <c r="C760" s="46" t="inlineStr">
        <is>
          <t>2026-07-02</t>
        </is>
      </c>
      <c r="D760" s="43" t="inlineStr">
        <is>
          <t>Hastane (Kurumsal)</t>
        </is>
      </c>
      <c r="E760" s="43" t="inlineStr">
        <is>
          <t>Marka Bilinirliği (Erişim)</t>
        </is>
      </c>
      <c r="F760" s="43" t="inlineStr">
        <is>
          <t>Bilinirlik - Doktor Tanıtım</t>
        </is>
      </c>
      <c r="G760" s="83" t="n">
        <v>67.40000000000001</v>
      </c>
      <c r="H760" s="43" t="inlineStr">
        <is>
          <t>Erişim</t>
        </is>
      </c>
      <c r="I760" s="46" t="n">
        <v>8168</v>
      </c>
      <c r="J760" s="46" t="n">
        <v>8168</v>
      </c>
      <c r="K760" s="46" t="n">
        <v>8168</v>
      </c>
    </row>
    <row r="761">
      <c r="A761" s="47" t="inlineStr">
        <is>
          <t>Doruk Hastaneleri</t>
        </is>
      </c>
      <c r="B761" s="47" t="inlineStr">
        <is>
          <t>Doktor - Bilinirlik Kampanyası - Yıldırım</t>
        </is>
      </c>
      <c r="C761" s="50" t="inlineStr">
        <is>
          <t>2026-07-09</t>
        </is>
      </c>
      <c r="D761" s="47" t="inlineStr">
        <is>
          <t>Hastane (Kurumsal)</t>
        </is>
      </c>
      <c r="E761" s="47" t="inlineStr">
        <is>
          <t>Marka Bilinirliği (Erişim)</t>
        </is>
      </c>
      <c r="F761" s="47" t="inlineStr">
        <is>
          <t>Bilinirlik - Doktor Tanıtım</t>
        </is>
      </c>
      <c r="G761" s="84" t="n">
        <v>64.45999999999999</v>
      </c>
      <c r="H761" s="47" t="inlineStr">
        <is>
          <t>Erişim</t>
        </is>
      </c>
      <c r="I761" s="50" t="n">
        <v>7384</v>
      </c>
      <c r="J761" s="50" t="n">
        <v>7384</v>
      </c>
      <c r="K761" s="50" t="n">
        <v>7384</v>
      </c>
    </row>
    <row r="762">
      <c r="A762" s="43" t="inlineStr">
        <is>
          <t>Doruk Hastaneleri</t>
        </is>
      </c>
      <c r="B762" s="43" t="inlineStr">
        <is>
          <t>Doktor - Bilinirlik Kampanyası - Yıldırım</t>
        </is>
      </c>
      <c r="C762" s="46" t="inlineStr">
        <is>
          <t>2026-07-05</t>
        </is>
      </c>
      <c r="D762" s="43" t="inlineStr">
        <is>
          <t>Hastane (Kurumsal)</t>
        </is>
      </c>
      <c r="E762" s="43" t="inlineStr">
        <is>
          <t>Marka Bilinirliği (Erişim)</t>
        </is>
      </c>
      <c r="F762" s="43" t="inlineStr">
        <is>
          <t>Bilinirlik - Doktor Tanıtım</t>
        </is>
      </c>
      <c r="G762" s="83" t="n">
        <v>46.51</v>
      </c>
      <c r="H762" s="43" t="inlineStr">
        <is>
          <t>Erişim</t>
        </is>
      </c>
      <c r="I762" s="46" t="n">
        <v>5278</v>
      </c>
      <c r="J762" s="46" t="n">
        <v>5278</v>
      </c>
      <c r="K762" s="46" t="n">
        <v>5343</v>
      </c>
    </row>
    <row r="763">
      <c r="A763" s="47" t="inlineStr">
        <is>
          <t>Doruk Hastaneleri</t>
        </is>
      </c>
      <c r="B763" s="47" t="inlineStr">
        <is>
          <t>Doktor - Bilinirlik Kampanyası - Yıldırım</t>
        </is>
      </c>
      <c r="C763" s="50" t="inlineStr">
        <is>
          <t>2026-07-06</t>
        </is>
      </c>
      <c r="D763" s="47" t="inlineStr">
        <is>
          <t>Hastane (Kurumsal)</t>
        </is>
      </c>
      <c r="E763" s="47" t="inlineStr">
        <is>
          <t>Marka Bilinirliği (Erişim)</t>
        </is>
      </c>
      <c r="F763" s="47" t="inlineStr">
        <is>
          <t>Bilinirlik - Doktor Tanıtım</t>
        </is>
      </c>
      <c r="G763" s="84" t="n">
        <v>23.13</v>
      </c>
      <c r="H763" s="47" t="inlineStr">
        <is>
          <t>Erişim</t>
        </is>
      </c>
      <c r="I763" s="50" t="n">
        <v>2741</v>
      </c>
      <c r="J763" s="50" t="n">
        <v>2741</v>
      </c>
      <c r="K763" s="50" t="n">
        <v>2741</v>
      </c>
    </row>
  </sheetData>
  <autoFilter ref="A1:K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2026-07-23T10:40:37Z</dcterms:created>
  <dcterms:modified xsi:type="dcterms:W3CDTF">2026-07-23T10:40:37Z</dcterms:modified>
</cp:coreProperties>
</file>