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Özet (Pivot)" sheetId="1" state="visible" r:id="rId1"/>
    <sheet name="2. Kampanya Kırılımı" sheetId="2" state="visible" r:id="rId2"/>
  </sheets>
  <definedNames>
    <definedName name="_xlnm._FilterDatabase" localSheetId="1" hidden="1">'2. Kampanya Kırılımı'!$A$3:$L$61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+#,##0 &quot;TL&quot;;-#,##0 &quot;TL&quot;;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F3A5F"/>
      <sz val="9"/>
    </font>
    <font>
      <name val="Arial"/>
      <b val="1"/>
      <color rgb="00333333"/>
      <sz val="9"/>
    </font>
    <font>
      <name val="Arial"/>
      <b val="1"/>
      <color rgb="000000FF"/>
      <sz val="11"/>
    </font>
    <font>
      <name val="Arial"/>
      <b val="1"/>
      <color rgb="00FFFFFF"/>
      <sz val="9"/>
    </font>
    <font>
      <name val="Arial"/>
      <color rgb="001A1A1A"/>
      <sz val="9"/>
    </font>
    <font>
      <name val="Arial"/>
      <b val="1"/>
      <color rgb="006D4C7D"/>
      <sz val="9"/>
    </font>
    <font>
      <name val="Arial"/>
      <b val="1"/>
      <color rgb="00FFFFFF"/>
      <sz val="10"/>
    </font>
    <font>
      <name val="Arial"/>
      <b val="1"/>
      <color rgb="001F3A5F"/>
      <sz val="15"/>
    </font>
    <font>
      <name val="Arial"/>
      <i val="1"/>
      <color rgb="00555555"/>
      <sz val="9"/>
    </font>
    <font>
      <name val="Arial"/>
      <color rgb="00333333"/>
      <sz val="9"/>
    </font>
    <font>
      <name val="Arial"/>
      <i val="1"/>
      <color rgb="002E7D32"/>
      <sz val="9"/>
    </font>
    <font>
      <name val="Arial"/>
      <i val="1"/>
      <color rgb="006B7280"/>
      <sz val="9"/>
    </font>
    <font>
      <name val="Arial"/>
      <b val="1"/>
      <color rgb="002E7D32"/>
      <sz val="9"/>
    </font>
    <font>
      <name val="Arial"/>
      <i val="1"/>
      <color rgb="00777777"/>
      <sz val="9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  <fill>
      <patternFill patternType="solid">
        <fgColor rgb="002E7D8A"/>
      </patternFill>
    </fill>
    <fill>
      <patternFill patternType="solid">
        <fgColor rgb="00F5F9FB"/>
      </patternFill>
    </fill>
    <fill>
      <patternFill patternType="solid">
        <fgColor rgb="00F3EEF7"/>
      </patternFill>
    </fill>
    <fill>
      <patternFill patternType="solid">
        <fgColor rgb="006B7280"/>
      </patternFill>
    </fill>
    <fill>
      <patternFill patternType="solid">
        <fgColor rgb="00C8A45C"/>
      </patternFill>
    </fill>
    <fill>
      <patternFill patternType="solid">
        <fgColor rgb="006D4C7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164" fontId="8" fillId="2" borderId="1" pivotButton="0" quotePrefix="0" xfId="0"/>
    <xf numFmtId="165" fontId="8" fillId="2" borderId="1" pivotButton="0" quotePrefix="0" xfId="0"/>
    <xf numFmtId="0" fontId="11" fillId="0" borderId="1" applyAlignment="1" pivotButton="0" quotePrefix="0" xfId="0">
      <alignment horizontal="left" vertical="center" indent="4"/>
    </xf>
    <xf numFmtId="164" fontId="6" fillId="0" borderId="1" pivotButton="0" quotePrefix="0" xfId="0"/>
    <xf numFmtId="165" fontId="6" fillId="0" borderId="1" pivotButton="0" quotePrefix="0" xfId="0"/>
    <xf numFmtId="0" fontId="8" fillId="8" borderId="1" applyAlignment="1" pivotButton="0" quotePrefix="0" xfId="0">
      <alignment horizontal="left" vertical="center" wrapText="1"/>
    </xf>
    <xf numFmtId="164" fontId="8" fillId="8" borderId="1" pivotButton="0" quotePrefix="0" xfId="0"/>
    <xf numFmtId="165" fontId="8" fillId="8" borderId="1" pivotButton="0" quotePrefix="0" xfId="0"/>
    <xf numFmtId="0" fontId="8" fillId="9" borderId="1" applyAlignment="1" pivotButton="0" quotePrefix="0" xfId="0">
      <alignment horizontal="left" vertical="center" wrapText="1"/>
    </xf>
    <xf numFmtId="164" fontId="8" fillId="9" borderId="1" pivotButton="0" quotePrefix="0" xfId="0"/>
    <xf numFmtId="165" fontId="8" fillId="9" borderId="1" pivotButton="0" quotePrefix="0" xfId="0"/>
    <xf numFmtId="0" fontId="7" fillId="0" borderId="1" applyAlignment="1" pivotButton="0" quotePrefix="0" xfId="0">
      <alignment horizontal="left" vertical="center" indent="4"/>
    </xf>
    <xf numFmtId="164" fontId="7" fillId="6" borderId="1" pivotButton="0" quotePrefix="0" xfId="0"/>
    <xf numFmtId="165" fontId="7" fillId="6" borderId="1" pivotButton="0" quotePrefix="0" xfId="0"/>
    <xf numFmtId="0" fontId="8" fillId="7" borderId="1" applyAlignment="1" pivotButton="0" quotePrefix="0" xfId="0">
      <alignment horizontal="left" vertical="center" wrapText="1"/>
    </xf>
    <xf numFmtId="164" fontId="8" fillId="7" borderId="1" pivotButton="0" quotePrefix="0" xfId="0"/>
    <xf numFmtId="165" fontId="8" fillId="7" borderId="1" pivotButton="0" quotePrefix="0" xfId="0"/>
    <xf numFmtId="0" fontId="12" fillId="0" borderId="0" applyAlignment="1" pivotButton="0" quotePrefix="0" xfId="0">
      <alignment horizontal="left" vertical="center" wrapText="1"/>
    </xf>
    <xf numFmtId="164" fontId="13" fillId="0" borderId="0" pivotButton="0" quotePrefix="0" xfId="0"/>
    <xf numFmtId="166" fontId="14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8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B2:J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9" customWidth="1" min="4" max="4"/>
    <col width="15" customWidth="1" min="5" max="5"/>
    <col width="15" customWidth="1" min="6" max="6"/>
    <col width="15" customWidth="1" min="7" max="7"/>
    <col width="14" customWidth="1" min="8" max="8"/>
    <col width="14" customWidth="1" min="9" max="9"/>
    <col width="14" customWidth="1" min="10" max="10"/>
  </cols>
  <sheetData>
    <row r="2" ht="26" customHeight="1">
      <c r="B2" s="1" t="inlineStr">
        <is>
          <t>ÖZET — KATEGORİ ▸ AMAÇ PİVOTU (Kampanya kırılımından türer)</t>
        </is>
      </c>
    </row>
    <row r="3">
      <c r="B3" s="2" t="inlineStr">
        <is>
          <t>Kategori satırlarının solundaki − / + ile amaç kırılımı açılıp kapanır (pivot gibi). Tüm değerler "2. Kampanya Kırılımı" sayfasından SUMIFS ile türetilir. Parametreler (bütçe / Ek A / Ek B) o sayfanın üstündeki sarı hücrelerdedir.</t>
        </is>
      </c>
    </row>
    <row r="5">
      <c r="B5" s="3" t="inlineStr">
        <is>
          <t>Kategori ▸ Amaç</t>
        </is>
      </c>
      <c r="C5" s="3" t="inlineStr">
        <is>
          <t>Gerçekleşen 30g</t>
        </is>
      </c>
      <c r="D5" s="3" t="inlineStr">
        <is>
          <t>Pay %</t>
        </is>
      </c>
      <c r="E5" s="3" t="inlineStr">
        <is>
          <t>60K Aylık</t>
        </is>
      </c>
      <c r="F5" s="3" t="inlineStr">
        <is>
          <t>+10K Aylık (70K)</t>
        </is>
      </c>
      <c r="G5" s="3" t="inlineStr">
        <is>
          <t>+20K Aylık (80K)</t>
        </is>
      </c>
      <c r="H5" s="3" t="inlineStr">
        <is>
          <t>60K Günlük</t>
        </is>
      </c>
      <c r="I5" s="3" t="inlineStr">
        <is>
          <t>+10K Günlük</t>
        </is>
      </c>
      <c r="J5" s="3" t="inlineStr">
        <is>
          <t>+20K Günlük</t>
        </is>
      </c>
    </row>
    <row r="6">
      <c r="B6" s="4" t="inlineStr">
        <is>
          <t>Hastane (Kurumsal)</t>
        </is>
      </c>
      <c r="C6" s="5">
        <f>SUMIFS('2. Kampanya Kırılımı'!$E$4:$E$61,'2. Kampanya Kırılımı'!$A$4:$A$61,"Hastane (Kurumsal)")</f>
        <v/>
      </c>
      <c r="D6" s="6">
        <f>SUMIFS('2. Kampanya Kırılımı'!$F$4:$F$61,'2. Kampanya Kırılımı'!$A$4:$A$61,"Hastane (Kurumsal)")</f>
        <v/>
      </c>
      <c r="E6" s="5">
        <f>SUMIFS('2. Kampanya Kırılımı'!$J$4:$J$61,'2. Kampanya Kırılımı'!$A$4:$A$61,"Hastane (Kurumsal)")</f>
        <v/>
      </c>
      <c r="F6" s="5">
        <f>SUMIFS('2. Kampanya Kırılımı'!$K$4:$K$61,'2. Kampanya Kırılımı'!$A$4:$A$61,"Hastane (Kurumsal)")</f>
        <v/>
      </c>
      <c r="G6" s="5">
        <f>SUMIFS('2. Kampanya Kırılımı'!$L$4:$L$61,'2. Kampanya Kırılımı'!$A$4:$A$61,"Hastane (Kurumsal)")</f>
        <v/>
      </c>
      <c r="H6" s="5">
        <f>SUMIFS('2. Kampanya Kırılımı'!$G$4:$G$61,'2. Kampanya Kırılımı'!$A$4:$A$61,"Hastane (Kurumsal)")</f>
        <v/>
      </c>
      <c r="I6" s="5">
        <f>SUMIFS('2. Kampanya Kırılımı'!$H$4:$H$61,'2. Kampanya Kırılımı'!$A$4:$A$61,"Hastane (Kurumsal)")</f>
        <v/>
      </c>
      <c r="J6" s="5">
        <f>SUMIFS('2. Kampanya Kırılımı'!$I$4:$I$61,'2. Kampanya Kırılımı'!$A$4:$A$61,"Hastane (Kurumsal)")</f>
        <v/>
      </c>
    </row>
    <row r="7" outlineLevel="1">
      <c r="B7" s="7" t="inlineStr">
        <is>
          <t>Lead Toplama (Form)</t>
        </is>
      </c>
      <c r="C7" s="8">
        <f>SUMIFS('2. Kampanya Kırılımı'!$E$4:$E$61,'2. Kampanya Kırılımı'!$A$4:$A$61,"Hastane (Kurumsal)",'2. Kampanya Kırılımı'!$B$4:$B$61,"Lead Toplama (Form)")</f>
        <v/>
      </c>
      <c r="D7" s="9">
        <f>SUMIFS('2. Kampanya Kırılımı'!$F$4:$F$61,'2. Kampanya Kırılımı'!$A$4:$A$61,"Hastane (Kurumsal)",'2. Kampanya Kırılımı'!$B$4:$B$61,"Lead Toplama (Form)")</f>
        <v/>
      </c>
      <c r="E7" s="8">
        <f>SUMIFS('2. Kampanya Kırılımı'!$J$4:$J$61,'2. Kampanya Kırılımı'!$A$4:$A$61,"Hastane (Kurumsal)",'2. Kampanya Kırılımı'!$B$4:$B$61,"Lead Toplama (Form)")</f>
        <v/>
      </c>
      <c r="F7" s="8">
        <f>SUMIFS('2. Kampanya Kırılımı'!$K$4:$K$61,'2. Kampanya Kırılımı'!$A$4:$A$61,"Hastane (Kurumsal)",'2. Kampanya Kırılımı'!$B$4:$B$61,"Lead Toplama (Form)")</f>
        <v/>
      </c>
      <c r="G7" s="8">
        <f>SUMIFS('2. Kampanya Kırılımı'!$L$4:$L$61,'2. Kampanya Kırılımı'!$A$4:$A$61,"Hastane (Kurumsal)",'2. Kampanya Kırılımı'!$B$4:$B$61,"Lead Toplama (Form)")</f>
        <v/>
      </c>
      <c r="H7" s="8">
        <f>SUMIFS('2. Kampanya Kırılımı'!$G$4:$G$61,'2. Kampanya Kırılımı'!$A$4:$A$61,"Hastane (Kurumsal)",'2. Kampanya Kırılımı'!$B$4:$B$61,"Lead Toplama (Form)")</f>
        <v/>
      </c>
      <c r="I7" s="8">
        <f>SUMIFS('2. Kampanya Kırılımı'!$H$4:$H$61,'2. Kampanya Kırılımı'!$A$4:$A$61,"Hastane (Kurumsal)",'2. Kampanya Kırılımı'!$B$4:$B$61,"Lead Toplama (Form)")</f>
        <v/>
      </c>
      <c r="J7" s="8">
        <f>SUMIFS('2. Kampanya Kırılımı'!$I$4:$I$61,'2. Kampanya Kırılımı'!$A$4:$A$61,"Hastane (Kurumsal)",'2. Kampanya Kırılımı'!$B$4:$B$61,"Lead Toplama (Form)")</f>
        <v/>
      </c>
    </row>
    <row r="8" outlineLevel="1">
      <c r="B8" s="7" t="inlineStr">
        <is>
          <t>Instagram Öne Çıkarma</t>
        </is>
      </c>
      <c r="C8" s="8">
        <f>SUMIFS('2. Kampanya Kırılımı'!$E$4:$E$61,'2. Kampanya Kırılımı'!$A$4:$A$61,"Hastane (Kurumsal)",'2. Kampanya Kırılımı'!$B$4:$B$61,"Instagram Öne Çıkarma")</f>
        <v/>
      </c>
      <c r="D8" s="9">
        <f>SUMIFS('2. Kampanya Kırılımı'!$F$4:$F$61,'2. Kampanya Kırılımı'!$A$4:$A$61,"Hastane (Kurumsal)",'2. Kampanya Kırılımı'!$B$4:$B$61,"Instagram Öne Çıkarma")</f>
        <v/>
      </c>
      <c r="E8" s="8">
        <f>SUMIFS('2. Kampanya Kırılımı'!$J$4:$J$61,'2. Kampanya Kırılımı'!$A$4:$A$61,"Hastane (Kurumsal)",'2. Kampanya Kırılımı'!$B$4:$B$61,"Instagram Öne Çıkarma")</f>
        <v/>
      </c>
      <c r="F8" s="8">
        <f>SUMIFS('2. Kampanya Kırılımı'!$K$4:$K$61,'2. Kampanya Kırılımı'!$A$4:$A$61,"Hastane (Kurumsal)",'2. Kampanya Kırılımı'!$B$4:$B$61,"Instagram Öne Çıkarma")</f>
        <v/>
      </c>
      <c r="G8" s="8">
        <f>SUMIFS('2. Kampanya Kırılımı'!$L$4:$L$61,'2. Kampanya Kırılımı'!$A$4:$A$61,"Hastane (Kurumsal)",'2. Kampanya Kırılımı'!$B$4:$B$61,"Instagram Öne Çıkarma")</f>
        <v/>
      </c>
      <c r="H8" s="8">
        <f>SUMIFS('2. Kampanya Kırılımı'!$G$4:$G$61,'2. Kampanya Kırılımı'!$A$4:$A$61,"Hastane (Kurumsal)",'2. Kampanya Kırılımı'!$B$4:$B$61,"Instagram Öne Çıkarma")</f>
        <v/>
      </c>
      <c r="I8" s="8">
        <f>SUMIFS('2. Kampanya Kırılımı'!$H$4:$H$61,'2. Kampanya Kırılımı'!$A$4:$A$61,"Hastane (Kurumsal)",'2. Kampanya Kırılımı'!$B$4:$B$61,"Instagram Öne Çıkarma")</f>
        <v/>
      </c>
      <c r="J8" s="8">
        <f>SUMIFS('2. Kampanya Kırılımı'!$I$4:$I$61,'2. Kampanya Kırılımı'!$A$4:$A$61,"Hastane (Kurumsal)",'2. Kampanya Kırılımı'!$B$4:$B$61,"Instagram Öne Çıkarma")</f>
        <v/>
      </c>
    </row>
    <row r="9" outlineLevel="1">
      <c r="B9" s="7" t="inlineStr">
        <is>
          <t>Marka Bilinirliği (Erişim)</t>
        </is>
      </c>
      <c r="C9" s="8">
        <f>SUMIFS('2. Kampanya Kırılımı'!$E$4:$E$61,'2. Kampanya Kırılımı'!$A$4:$A$61,"Hastane (Kurumsal)",'2. Kampanya Kırılımı'!$B$4:$B$61,"Marka Bilinirliği (Erişim)")</f>
        <v/>
      </c>
      <c r="D9" s="9">
        <f>SUMIFS('2. Kampanya Kırılımı'!$F$4:$F$61,'2. Kampanya Kırılımı'!$A$4:$A$61,"Hastane (Kurumsal)",'2. Kampanya Kırılımı'!$B$4:$B$61,"Marka Bilinirliği (Erişim)")</f>
        <v/>
      </c>
      <c r="E9" s="8">
        <f>SUMIFS('2. Kampanya Kırılımı'!$J$4:$J$61,'2. Kampanya Kırılımı'!$A$4:$A$61,"Hastane (Kurumsal)",'2. Kampanya Kırılımı'!$B$4:$B$61,"Marka Bilinirliği (Erişim)")</f>
        <v/>
      </c>
      <c r="F9" s="8">
        <f>SUMIFS('2. Kampanya Kırılımı'!$K$4:$K$61,'2. Kampanya Kırılımı'!$A$4:$A$61,"Hastane (Kurumsal)",'2. Kampanya Kırılımı'!$B$4:$B$61,"Marka Bilinirliği (Erişim)")</f>
        <v/>
      </c>
      <c r="G9" s="8">
        <f>SUMIFS('2. Kampanya Kırılımı'!$L$4:$L$61,'2. Kampanya Kırılımı'!$A$4:$A$61,"Hastane (Kurumsal)",'2. Kampanya Kırılımı'!$B$4:$B$61,"Marka Bilinirliği (Erişim)")</f>
        <v/>
      </c>
      <c r="H9" s="8">
        <f>SUMIFS('2. Kampanya Kırılımı'!$G$4:$G$61,'2. Kampanya Kırılımı'!$A$4:$A$61,"Hastane (Kurumsal)",'2. Kampanya Kırılımı'!$B$4:$B$61,"Marka Bilinirliği (Erişim)")</f>
        <v/>
      </c>
      <c r="I9" s="8">
        <f>SUMIFS('2. Kampanya Kırılımı'!$H$4:$H$61,'2. Kampanya Kırılımı'!$A$4:$A$61,"Hastane (Kurumsal)",'2. Kampanya Kırılımı'!$B$4:$B$61,"Marka Bilinirliği (Erişim)")</f>
        <v/>
      </c>
      <c r="J9" s="8">
        <f>SUMIFS('2. Kampanya Kırılımı'!$I$4:$I$61,'2. Kampanya Kırılımı'!$A$4:$A$61,"Hastane (Kurumsal)",'2. Kampanya Kırılımı'!$B$4:$B$61,"Marka Bilinirliği (Erişim)")</f>
        <v/>
      </c>
    </row>
    <row r="10">
      <c r="B10" s="10" t="inlineStr">
        <is>
          <t>Estetik Marka</t>
        </is>
      </c>
      <c r="C10" s="11">
        <f>SUMIFS('2. Kampanya Kırılımı'!$E$4:$E$61,'2. Kampanya Kırılımı'!$A$4:$A$61,"Estetik Marka")</f>
        <v/>
      </c>
      <c r="D10" s="12">
        <f>SUMIFS('2. Kampanya Kırılımı'!$F$4:$F$61,'2. Kampanya Kırılımı'!$A$4:$A$61,"Estetik Marka")</f>
        <v/>
      </c>
      <c r="E10" s="11">
        <f>SUMIFS('2. Kampanya Kırılımı'!$J$4:$J$61,'2. Kampanya Kırılımı'!$A$4:$A$61,"Estetik Marka")</f>
        <v/>
      </c>
      <c r="F10" s="11">
        <f>SUMIFS('2. Kampanya Kırılımı'!$K$4:$K$61,'2. Kampanya Kırılımı'!$A$4:$A$61,"Estetik Marka")</f>
        <v/>
      </c>
      <c r="G10" s="11">
        <f>SUMIFS('2. Kampanya Kırılımı'!$L$4:$L$61,'2. Kampanya Kırılımı'!$A$4:$A$61,"Estetik Marka")</f>
        <v/>
      </c>
      <c r="H10" s="11">
        <f>SUMIFS('2. Kampanya Kırılımı'!$G$4:$G$61,'2. Kampanya Kırılımı'!$A$4:$A$61,"Estetik Marka")</f>
        <v/>
      </c>
      <c r="I10" s="11">
        <f>SUMIFS('2. Kampanya Kırılımı'!$H$4:$H$61,'2. Kampanya Kırılımı'!$A$4:$A$61,"Estetik Marka")</f>
        <v/>
      </c>
      <c r="J10" s="11">
        <f>SUMIFS('2. Kampanya Kırılımı'!$I$4:$I$61,'2. Kampanya Kırılımı'!$A$4:$A$61,"Estetik Marka")</f>
        <v/>
      </c>
    </row>
    <row r="11" outlineLevel="1">
      <c r="B11" s="7" t="inlineStr">
        <is>
          <t>Lead Toplama (Form)</t>
        </is>
      </c>
      <c r="C11" s="8">
        <f>SUMIFS('2. Kampanya Kırılımı'!$E$4:$E$61,'2. Kampanya Kırılımı'!$A$4:$A$61,"Estetik Marka",'2. Kampanya Kırılımı'!$B$4:$B$61,"Lead Toplama (Form)")</f>
        <v/>
      </c>
      <c r="D11" s="9">
        <f>SUMIFS('2. Kampanya Kırılımı'!$F$4:$F$61,'2. Kampanya Kırılımı'!$A$4:$A$61,"Estetik Marka",'2. Kampanya Kırılımı'!$B$4:$B$61,"Lead Toplama (Form)")</f>
        <v/>
      </c>
      <c r="E11" s="8">
        <f>SUMIFS('2. Kampanya Kırılımı'!$J$4:$J$61,'2. Kampanya Kırılımı'!$A$4:$A$61,"Estetik Marka",'2. Kampanya Kırılımı'!$B$4:$B$61,"Lead Toplama (Form)")</f>
        <v/>
      </c>
      <c r="F11" s="8">
        <f>SUMIFS('2. Kampanya Kırılımı'!$K$4:$K$61,'2. Kampanya Kırılımı'!$A$4:$A$61,"Estetik Marka",'2. Kampanya Kırılımı'!$B$4:$B$61,"Lead Toplama (Form)")</f>
        <v/>
      </c>
      <c r="G11" s="8">
        <f>SUMIFS('2. Kampanya Kırılımı'!$L$4:$L$61,'2. Kampanya Kırılımı'!$A$4:$A$61,"Estetik Marka",'2. Kampanya Kırılımı'!$B$4:$B$61,"Lead Toplama (Form)")</f>
        <v/>
      </c>
      <c r="H11" s="8">
        <f>SUMIFS('2. Kampanya Kırılımı'!$G$4:$G$61,'2. Kampanya Kırılımı'!$A$4:$A$61,"Estetik Marka",'2. Kampanya Kırılımı'!$B$4:$B$61,"Lead Toplama (Form)")</f>
        <v/>
      </c>
      <c r="I11" s="8">
        <f>SUMIFS('2. Kampanya Kırılımı'!$H$4:$H$61,'2. Kampanya Kırılımı'!$A$4:$A$61,"Estetik Marka",'2. Kampanya Kırılımı'!$B$4:$B$61,"Lead Toplama (Form)")</f>
        <v/>
      </c>
      <c r="J11" s="8">
        <f>SUMIFS('2. Kampanya Kırılımı'!$I$4:$I$61,'2. Kampanya Kırılımı'!$A$4:$A$61,"Estetik Marka",'2. Kampanya Kırılımı'!$B$4:$B$61,"Lead Toplama (Form)")</f>
        <v/>
      </c>
    </row>
    <row r="12" outlineLevel="1">
      <c r="B12" s="7" t="inlineStr">
        <is>
          <t>Instagram Öne Çıkarma</t>
        </is>
      </c>
      <c r="C12" s="8">
        <f>SUMIFS('2. Kampanya Kırılımı'!$E$4:$E$61,'2. Kampanya Kırılımı'!$A$4:$A$61,"Estetik Marka",'2. Kampanya Kırılımı'!$B$4:$B$61,"Instagram Öne Çıkarma")</f>
        <v/>
      </c>
      <c r="D12" s="9">
        <f>SUMIFS('2. Kampanya Kırılımı'!$F$4:$F$61,'2. Kampanya Kırılımı'!$A$4:$A$61,"Estetik Marka",'2. Kampanya Kırılımı'!$B$4:$B$61,"Instagram Öne Çıkarma")</f>
        <v/>
      </c>
      <c r="E12" s="8">
        <f>SUMIFS('2. Kampanya Kırılımı'!$J$4:$J$61,'2. Kampanya Kırılımı'!$A$4:$A$61,"Estetik Marka",'2. Kampanya Kırılımı'!$B$4:$B$61,"Instagram Öne Çıkarma")</f>
        <v/>
      </c>
      <c r="F12" s="8">
        <f>SUMIFS('2. Kampanya Kırılımı'!$K$4:$K$61,'2. Kampanya Kırılımı'!$A$4:$A$61,"Estetik Marka",'2. Kampanya Kırılımı'!$B$4:$B$61,"Instagram Öne Çıkarma")</f>
        <v/>
      </c>
      <c r="G12" s="8">
        <f>SUMIFS('2. Kampanya Kırılımı'!$L$4:$L$61,'2. Kampanya Kırılımı'!$A$4:$A$61,"Estetik Marka",'2. Kampanya Kırılımı'!$B$4:$B$61,"Instagram Öne Çıkarma")</f>
        <v/>
      </c>
      <c r="H12" s="8">
        <f>SUMIFS('2. Kampanya Kırılımı'!$G$4:$G$61,'2. Kampanya Kırılımı'!$A$4:$A$61,"Estetik Marka",'2. Kampanya Kırılımı'!$B$4:$B$61,"Instagram Öne Çıkarma")</f>
        <v/>
      </c>
      <c r="I12" s="8">
        <f>SUMIFS('2. Kampanya Kırılımı'!$H$4:$H$61,'2. Kampanya Kırılımı'!$A$4:$A$61,"Estetik Marka",'2. Kampanya Kırılımı'!$B$4:$B$61,"Instagram Öne Çıkarma")</f>
        <v/>
      </c>
      <c r="J12" s="8">
        <f>SUMIFS('2. Kampanya Kırılımı'!$I$4:$I$61,'2. Kampanya Kırılımı'!$A$4:$A$61,"Estetik Marka",'2. Kampanya Kırılımı'!$B$4:$B$61,"Instagram Öne Çıkarma")</f>
        <v/>
      </c>
    </row>
    <row r="13">
      <c r="B13" s="13" t="inlineStr">
        <is>
          <t>Doktor Sayfaları</t>
        </is>
      </c>
      <c r="C13" s="14">
        <f>SUMIFS('2. Kampanya Kırılımı'!$E$4:$E$61,'2. Kampanya Kırılımı'!$A$4:$A$61,"Doktor Sayfaları")</f>
        <v/>
      </c>
      <c r="D13" s="15">
        <f>SUMIFS('2. Kampanya Kırılımı'!$F$4:$F$61,'2. Kampanya Kırılımı'!$A$4:$A$61,"Doktor Sayfaları")</f>
        <v/>
      </c>
      <c r="E13" s="14">
        <f>SUMIFS('2. Kampanya Kırılımı'!$J$4:$J$61,'2. Kampanya Kırılımı'!$A$4:$A$61,"Doktor Sayfaları")</f>
        <v/>
      </c>
      <c r="F13" s="14">
        <f>SUMIFS('2. Kampanya Kırılımı'!$K$4:$K$61,'2. Kampanya Kırılımı'!$A$4:$A$61,"Doktor Sayfaları")</f>
        <v/>
      </c>
      <c r="G13" s="14">
        <f>SUMIFS('2. Kampanya Kırılımı'!$L$4:$L$61,'2. Kampanya Kırılımı'!$A$4:$A$61,"Doktor Sayfaları")</f>
        <v/>
      </c>
      <c r="H13" s="14">
        <f>SUMIFS('2. Kampanya Kırılımı'!$G$4:$G$61,'2. Kampanya Kırılımı'!$A$4:$A$61,"Doktor Sayfaları")</f>
        <v/>
      </c>
      <c r="I13" s="14">
        <f>SUMIFS('2. Kampanya Kırılımı'!$H$4:$H$61,'2. Kampanya Kırılımı'!$A$4:$A$61,"Doktor Sayfaları")</f>
        <v/>
      </c>
      <c r="J13" s="14">
        <f>SUMIFS('2. Kampanya Kırılımı'!$I$4:$I$61,'2. Kampanya Kırılımı'!$A$4:$A$61,"Doktor Sayfaları")</f>
        <v/>
      </c>
    </row>
    <row r="14" outlineLevel="1">
      <c r="B14" s="16" t="inlineStr">
        <is>
          <t>Instagram Öne Çıkarma</t>
        </is>
      </c>
      <c r="C14" s="17">
        <f>SUMIFS('2. Kampanya Kırılımı'!$E$4:$E$61,'2. Kampanya Kırılımı'!$A$4:$A$61,"Doktor Sayfaları",'2. Kampanya Kırılımı'!$B$4:$B$61,"Instagram Öne Çıkarma")</f>
        <v/>
      </c>
      <c r="D14" s="18">
        <f>SUMIFS('2. Kampanya Kırılımı'!$F$4:$F$61,'2. Kampanya Kırılımı'!$A$4:$A$61,"Doktor Sayfaları",'2. Kampanya Kırılımı'!$B$4:$B$61,"Instagram Öne Çıkarma")</f>
        <v/>
      </c>
      <c r="E14" s="17">
        <f>SUMIFS('2. Kampanya Kırılımı'!$J$4:$J$61,'2. Kampanya Kırılımı'!$A$4:$A$61,"Doktor Sayfaları",'2. Kampanya Kırılımı'!$B$4:$B$61,"Instagram Öne Çıkarma")</f>
        <v/>
      </c>
      <c r="F14" s="17">
        <f>SUMIFS('2. Kampanya Kırılımı'!$K$4:$K$61,'2. Kampanya Kırılımı'!$A$4:$A$61,"Doktor Sayfaları",'2. Kampanya Kırılımı'!$B$4:$B$61,"Instagram Öne Çıkarma")</f>
        <v/>
      </c>
      <c r="G14" s="17">
        <f>SUMIFS('2. Kampanya Kırılımı'!$L$4:$L$61,'2. Kampanya Kırılımı'!$A$4:$A$61,"Doktor Sayfaları",'2. Kampanya Kırılımı'!$B$4:$B$61,"Instagram Öne Çıkarma")</f>
        <v/>
      </c>
      <c r="H14" s="17">
        <f>SUMIFS('2. Kampanya Kırılımı'!$G$4:$G$61,'2. Kampanya Kırılımı'!$A$4:$A$61,"Doktor Sayfaları",'2. Kampanya Kırılımı'!$B$4:$B$61,"Instagram Öne Çıkarma")</f>
        <v/>
      </c>
      <c r="I14" s="17">
        <f>SUMIFS('2. Kampanya Kırılımı'!$H$4:$H$61,'2. Kampanya Kırılımı'!$A$4:$A$61,"Doktor Sayfaları",'2. Kampanya Kırılımı'!$B$4:$B$61,"Instagram Öne Çıkarma")</f>
        <v/>
      </c>
      <c r="J14" s="17">
        <f>SUMIFS('2. Kampanya Kırılımı'!$I$4:$I$61,'2. Kampanya Kırılımı'!$A$4:$A$61,"Doktor Sayfaları",'2. Kampanya Kırılımı'!$B$4:$B$61,"Instagram Öne Çıkarma")</f>
        <v/>
      </c>
    </row>
    <row r="15">
      <c r="B15" s="19" t="inlineStr">
        <is>
          <t>GENEL TOPLAM</t>
        </is>
      </c>
      <c r="C15" s="20">
        <f>C6+C10+C13</f>
        <v/>
      </c>
      <c r="D15" s="21">
        <f>D6+D10+D13</f>
        <v/>
      </c>
      <c r="E15" s="20">
        <f>E6+E10+E13</f>
        <v/>
      </c>
      <c r="F15" s="20">
        <f>F6+F10+F13</f>
        <v/>
      </c>
      <c r="G15" s="20">
        <f>G6+G10+G13</f>
        <v/>
      </c>
      <c r="H15" s="20">
        <f>H6+H10+H13</f>
        <v/>
      </c>
      <c r="I15" s="20">
        <f>I6+I10+I13</f>
        <v/>
      </c>
      <c r="J15" s="20">
        <f>J6+J10+J13</f>
        <v/>
      </c>
    </row>
    <row r="17">
      <c r="B17" s="22" t="inlineStr">
        <is>
          <t>Δ Aylık Senaryo − Gerçekleşen(×30 baz)</t>
        </is>
      </c>
      <c r="C17" s="23">
        <f>C15*30</f>
        <v/>
      </c>
      <c r="E17" s="24">
        <f>E15-$C$15*30</f>
        <v/>
      </c>
      <c r="F17" s="24">
        <f>F15-$C$15*30</f>
        <v/>
      </c>
      <c r="G17" s="24">
        <f>G15-$C$15*30</f>
        <v/>
      </c>
    </row>
    <row r="19">
      <c r="B19" s="25" t="inlineStr">
        <is>
          <t>Pivot mantığı: kategori satırları = amaç satırlarının toplamı; her ikisi de kampanya kırılımından SUMIFS ile gelir.</t>
        </is>
      </c>
    </row>
    <row r="20">
      <c r="B20" s="25" t="inlineStr">
        <is>
          <t>Ek bütçe (Ek A / Ek B) yalnız doktor sayfalarına (=Instagram Öne Çıkarma) dağıtılır; hastane/estetik sabittir.</t>
        </is>
      </c>
    </row>
    <row r="21">
      <c r="B21" s="25" t="inlineStr">
        <is>
          <t>Parametreleri değiştirmek için "2. Kampanya Kırılımı" sayfasındaki sarı hücreleri kullanın.</t>
        </is>
      </c>
    </row>
    <row r="22">
      <c r="B22" s="25" t="inlineStr">
        <is>
          <t>Günlük gerçekleşen ort. ≈ 33.732 TL (30g÷30) / 38.921 TL (26 aktif gün).</t>
        </is>
      </c>
    </row>
  </sheetData>
  <mergeCells count="6">
    <mergeCell ref="B3:J3"/>
    <mergeCell ref="B19:J19"/>
    <mergeCell ref="B20:J20"/>
    <mergeCell ref="B22:J22"/>
    <mergeCell ref="B21:J21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48" customWidth="1" min="4" max="4"/>
    <col width="15" customWidth="1" min="5" max="5"/>
    <col width="9" customWidth="1" min="6" max="6"/>
    <col width="13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26" t="inlineStr">
        <is>
          <t>KAMPANYA SEVİYESİ KIRILIM (Özet pivot bu sayfadan türer)</t>
        </is>
      </c>
    </row>
    <row r="2">
      <c r="D2" s="27" t="inlineStr">
        <is>
          <t>PARAMETRELER →</t>
        </is>
      </c>
      <c r="E2" s="28" t="inlineStr">
        <is>
          <t>Bütçe:</t>
        </is>
      </c>
      <c r="F2" s="29" t="n">
        <v>60000</v>
      </c>
      <c r="G2" s="28" t="inlineStr">
        <is>
          <t>Ek A:</t>
        </is>
      </c>
      <c r="H2" s="29" t="n">
        <v>10000</v>
      </c>
      <c r="I2" s="28" t="inlineStr">
        <is>
          <t>Ek B:</t>
        </is>
      </c>
      <c r="J2" s="29" t="n">
        <v>20000</v>
      </c>
    </row>
    <row r="3">
      <c r="A3" s="30" t="inlineStr">
        <is>
          <t>Sayfa Kategorisi</t>
        </is>
      </c>
      <c r="B3" s="30" t="inlineStr">
        <is>
          <t>Amaç</t>
        </is>
      </c>
      <c r="C3" s="30" t="inlineStr">
        <is>
          <t>Sayfa</t>
        </is>
      </c>
      <c r="D3" s="30" t="inlineStr">
        <is>
          <t>Kampanya</t>
        </is>
      </c>
      <c r="E3" s="30" t="inlineStr">
        <is>
          <t>Gerçekleşen 30g</t>
        </is>
      </c>
      <c r="F3" s="30" t="inlineStr">
        <is>
          <t>Pay %</t>
        </is>
      </c>
      <c r="G3" s="30" t="inlineStr">
        <is>
          <t>60K Günlük</t>
        </is>
      </c>
      <c r="H3" s="30" t="inlineStr">
        <is>
          <t>+10K Günlük</t>
        </is>
      </c>
      <c r="I3" s="30" t="inlineStr">
        <is>
          <t>+20K Günlük</t>
        </is>
      </c>
      <c r="J3" s="30" t="inlineStr">
        <is>
          <t>60K Aylık</t>
        </is>
      </c>
      <c r="K3" s="30" t="inlineStr">
        <is>
          <t>+10K Aylık</t>
        </is>
      </c>
      <c r="L3" s="30" t="inlineStr">
        <is>
          <t>+20K Aylık</t>
        </is>
      </c>
    </row>
    <row r="4">
      <c r="A4" s="31" t="inlineStr">
        <is>
          <t>Hastane (Kurumsal)</t>
        </is>
      </c>
      <c r="B4" s="31" t="inlineStr">
        <is>
          <t>Lead Toplama (Form)</t>
        </is>
      </c>
      <c r="C4" s="31" t="inlineStr">
        <is>
          <t>Doruk Hastaneleri</t>
        </is>
      </c>
      <c r="D4" s="31" t="inlineStr">
        <is>
          <t>Gebe-Doğum Form Kampanyası</t>
        </is>
      </c>
      <c r="E4" s="32" t="n">
        <v>173818.84</v>
      </c>
      <c r="F4" s="33">
        <f>E4/SUM($E$4:$E$61)</f>
        <v/>
      </c>
      <c r="G4" s="32">
        <f>(E4/SUM($E$4:$E$61))*'2. Kampanya Kırılımı'!$F$2</f>
        <v/>
      </c>
      <c r="H4" s="32">
        <f>(E4/SUM($E$4:$E$61))*'2. Kampanya Kırılımı'!$F$2+IF($A4="Doktor Sayfaları",(E4/SUMIFS($E$4:$E$61,$A$4:$A$61,"Doktor Sayfaları"))*'2. Kampanya Kırılımı'!$H$2,0)</f>
        <v/>
      </c>
      <c r="I4" s="32">
        <f>(E4/SUM($E$4:$E$61))*'2. Kampanya Kırılımı'!$F$2+IF($A4="Doktor Sayfaları",(E4/SUMIFS($E$4:$E$61,$A$4:$A$61,"Doktor Sayfaları"))*'2. Kampanya Kırılımı'!$J$2,0)</f>
        <v/>
      </c>
      <c r="J4" s="32">
        <f>G4*30</f>
        <v/>
      </c>
      <c r="K4" s="32">
        <f>H4*30</f>
        <v/>
      </c>
      <c r="L4" s="32">
        <f>I4*30</f>
        <v/>
      </c>
    </row>
    <row r="5">
      <c r="A5" s="34" t="inlineStr">
        <is>
          <t>Hastane (Kurumsal)</t>
        </is>
      </c>
      <c r="B5" s="34" t="inlineStr">
        <is>
          <t>Lead Toplama (Form)</t>
        </is>
      </c>
      <c r="C5" s="34" t="inlineStr">
        <is>
          <t>Doruk Hastaneleri</t>
        </is>
      </c>
      <c r="D5" s="34" t="inlineStr">
        <is>
          <t>FTR Yatılı - lead</t>
        </is>
      </c>
      <c r="E5" s="35" t="n">
        <v>97495.28</v>
      </c>
      <c r="F5" s="36">
        <f>E5/SUM($E$4:$E$61)</f>
        <v/>
      </c>
      <c r="G5" s="35">
        <f>(E5/SUM($E$4:$E$61))*'2. Kampanya Kırılımı'!$F$2</f>
        <v/>
      </c>
      <c r="H5" s="35">
        <f>(E5/SUM($E$4:$E$61))*'2. Kampanya Kırılımı'!$F$2+IF($A5="Doktor Sayfaları",(E5/SUMIFS($E$4:$E$61,$A$4:$A$61,"Doktor Sayfaları"))*'2. Kampanya Kırılımı'!$H$2,0)</f>
        <v/>
      </c>
      <c r="I5" s="35">
        <f>(E5/SUM($E$4:$E$61))*'2. Kampanya Kırılımı'!$F$2+IF($A5="Doktor Sayfaları",(E5/SUMIFS($E$4:$E$61,$A$4:$A$61,"Doktor Sayfaları"))*'2. Kampanya Kırılımı'!$J$2,0)</f>
        <v/>
      </c>
      <c r="J5" s="35">
        <f>G5*30</f>
        <v/>
      </c>
      <c r="K5" s="35">
        <f>H5*30</f>
        <v/>
      </c>
      <c r="L5" s="35">
        <f>I5*30</f>
        <v/>
      </c>
    </row>
    <row r="6">
      <c r="A6" s="31" t="inlineStr">
        <is>
          <t>Hastane (Kurumsal)</t>
        </is>
      </c>
      <c r="B6" s="31" t="inlineStr">
        <is>
          <t>Lead Toplama (Form)</t>
        </is>
      </c>
      <c r="C6" s="31" t="inlineStr">
        <is>
          <t>Doruk Hastaneleri</t>
        </is>
      </c>
      <c r="D6" s="31" t="inlineStr">
        <is>
          <t>Hemşire İş Başvuru - lead</t>
        </is>
      </c>
      <c r="E6" s="32" t="n">
        <v>24219.27</v>
      </c>
      <c r="F6" s="33">
        <f>E6/SUM($E$4:$E$61)</f>
        <v/>
      </c>
      <c r="G6" s="32">
        <f>(E6/SUM($E$4:$E$61))*'2. Kampanya Kırılımı'!$F$2</f>
        <v/>
      </c>
      <c r="H6" s="32">
        <f>(E6/SUM($E$4:$E$61))*'2. Kampanya Kırılımı'!$F$2+IF($A6="Doktor Sayfaları",(E6/SUMIFS($E$4:$E$61,$A$4:$A$61,"Doktor Sayfaları"))*'2. Kampanya Kırılımı'!$H$2,0)</f>
        <v/>
      </c>
      <c r="I6" s="32">
        <f>(E6/SUM($E$4:$E$61))*'2. Kampanya Kırılımı'!$F$2+IF($A6="Doktor Sayfaları",(E6/SUMIFS($E$4:$E$61,$A$4:$A$61,"Doktor Sayfaları"))*'2. Kampanya Kırılımı'!$J$2,0)</f>
        <v/>
      </c>
      <c r="J6" s="32">
        <f>G6*30</f>
        <v/>
      </c>
      <c r="K6" s="32">
        <f>H6*30</f>
        <v/>
      </c>
      <c r="L6" s="32">
        <f>I6*30</f>
        <v/>
      </c>
    </row>
    <row r="7">
      <c r="A7" s="34" t="inlineStr">
        <is>
          <t>Hastane (Kurumsal)</t>
        </is>
      </c>
      <c r="B7" s="34" t="inlineStr">
        <is>
          <t>Lead Toplama (Form)</t>
        </is>
      </c>
      <c r="C7" s="34" t="inlineStr">
        <is>
          <t>Doruk Hastaneleri</t>
        </is>
      </c>
      <c r="D7" s="34" t="inlineStr">
        <is>
          <t>Uzman Hekim Başvuru</t>
        </is>
      </c>
      <c r="E7" s="35" t="n">
        <v>23972.09</v>
      </c>
      <c r="F7" s="36">
        <f>E7/SUM($E$4:$E$61)</f>
        <v/>
      </c>
      <c r="G7" s="35">
        <f>(E7/SUM($E$4:$E$61))*'2. Kampanya Kırılımı'!$F$2</f>
        <v/>
      </c>
      <c r="H7" s="35">
        <f>(E7/SUM($E$4:$E$61))*'2. Kampanya Kırılımı'!$F$2+IF($A7="Doktor Sayfaları",(E7/SUMIFS($E$4:$E$61,$A$4:$A$61,"Doktor Sayfaları"))*'2. Kampanya Kırılımı'!$H$2,0)</f>
        <v/>
      </c>
      <c r="I7" s="35">
        <f>(E7/SUM($E$4:$E$61))*'2. Kampanya Kırılımı'!$F$2+IF($A7="Doktor Sayfaları",(E7/SUMIFS($E$4:$E$61,$A$4:$A$61,"Doktor Sayfaları"))*'2. Kampanya Kırılımı'!$J$2,0)</f>
        <v/>
      </c>
      <c r="J7" s="35">
        <f>G7*30</f>
        <v/>
      </c>
      <c r="K7" s="35">
        <f>H7*30</f>
        <v/>
      </c>
      <c r="L7" s="35">
        <f>I7*30</f>
        <v/>
      </c>
    </row>
    <row r="8">
      <c r="A8" s="31" t="inlineStr">
        <is>
          <t>Hastane (Kurumsal)</t>
        </is>
      </c>
      <c r="B8" s="31" t="inlineStr">
        <is>
          <t>Lead Toplama (Form)</t>
        </is>
      </c>
      <c r="C8" s="31" t="inlineStr">
        <is>
          <t>Doruk Hastaneleri</t>
        </is>
      </c>
      <c r="D8" s="31" t="inlineStr">
        <is>
          <t>Checkup - genel - lead</t>
        </is>
      </c>
      <c r="E8" s="32" t="n">
        <v>23129.44</v>
      </c>
      <c r="F8" s="33">
        <f>E8/SUM($E$4:$E$61)</f>
        <v/>
      </c>
      <c r="G8" s="32">
        <f>(E8/SUM($E$4:$E$61))*'2. Kampanya Kırılımı'!$F$2</f>
        <v/>
      </c>
      <c r="H8" s="32">
        <f>(E8/SUM($E$4:$E$61))*'2. Kampanya Kırılımı'!$F$2+IF($A8="Doktor Sayfaları",(E8/SUMIFS($E$4:$E$61,$A$4:$A$61,"Doktor Sayfaları"))*'2. Kampanya Kırılımı'!$H$2,0)</f>
        <v/>
      </c>
      <c r="I8" s="32">
        <f>(E8/SUM($E$4:$E$61))*'2. Kampanya Kırılımı'!$F$2+IF($A8="Doktor Sayfaları",(E8/SUMIFS($E$4:$E$61,$A$4:$A$61,"Doktor Sayfaları"))*'2. Kampanya Kırılımı'!$J$2,0)</f>
        <v/>
      </c>
      <c r="J8" s="32">
        <f>G8*30</f>
        <v/>
      </c>
      <c r="K8" s="32">
        <f>H8*30</f>
        <v/>
      </c>
      <c r="L8" s="32">
        <f>I8*30</f>
        <v/>
      </c>
    </row>
    <row r="9">
      <c r="A9" s="34" t="inlineStr">
        <is>
          <t>Hastane (Kurumsal)</t>
        </is>
      </c>
      <c r="B9" s="34" t="inlineStr">
        <is>
          <t>Lead Toplama (Form)</t>
        </is>
      </c>
      <c r="C9" s="34" t="inlineStr">
        <is>
          <t>Doruk Hastaneleri</t>
        </is>
      </c>
      <c r="D9" s="34" t="inlineStr">
        <is>
          <t>CBO / Saç Ekimi - lead / soğuk</t>
        </is>
      </c>
      <c r="E9" s="35" t="n">
        <v>21956.72</v>
      </c>
      <c r="F9" s="36">
        <f>E9/SUM($E$4:$E$61)</f>
        <v/>
      </c>
      <c r="G9" s="35">
        <f>(E9/SUM($E$4:$E$61))*'2. Kampanya Kırılımı'!$F$2</f>
        <v/>
      </c>
      <c r="H9" s="35">
        <f>(E9/SUM($E$4:$E$61))*'2. Kampanya Kırılımı'!$F$2+IF($A9="Doktor Sayfaları",(E9/SUMIFS($E$4:$E$61,$A$4:$A$61,"Doktor Sayfaları"))*'2. Kampanya Kırılımı'!$H$2,0)</f>
        <v/>
      </c>
      <c r="I9" s="35">
        <f>(E9/SUM($E$4:$E$61))*'2. Kampanya Kırılımı'!$F$2+IF($A9="Doktor Sayfaları",(E9/SUMIFS($E$4:$E$61,$A$4:$A$61,"Doktor Sayfaları"))*'2. Kampanya Kırılımı'!$J$2,0)</f>
        <v/>
      </c>
      <c r="J9" s="35">
        <f>G9*30</f>
        <v/>
      </c>
      <c r="K9" s="35">
        <f>H9*30</f>
        <v/>
      </c>
      <c r="L9" s="35">
        <f>I9*30</f>
        <v/>
      </c>
    </row>
    <row r="10">
      <c r="A10" s="31" t="inlineStr">
        <is>
          <t>Hastane (Kurumsal)</t>
        </is>
      </c>
      <c r="B10" s="31" t="inlineStr">
        <is>
          <t>Lead Toplama (Form)</t>
        </is>
      </c>
      <c r="C10" s="31" t="inlineStr">
        <is>
          <t>Doruk Hastaneleri</t>
        </is>
      </c>
      <c r="D10" s="31" t="inlineStr">
        <is>
          <t>ABO / Meme Estetiği / plastik cerrahi / lead</t>
        </is>
      </c>
      <c r="E10" s="32" t="n">
        <v>21624.59</v>
      </c>
      <c r="F10" s="33">
        <f>E10/SUM($E$4:$E$61)</f>
        <v/>
      </c>
      <c r="G10" s="32">
        <f>(E10/SUM($E$4:$E$61))*'2. Kampanya Kırılımı'!$F$2</f>
        <v/>
      </c>
      <c r="H10" s="32">
        <f>(E10/SUM($E$4:$E$61))*'2. Kampanya Kırılımı'!$F$2+IF($A10="Doktor Sayfaları",(E10/SUMIFS($E$4:$E$61,$A$4:$A$61,"Doktor Sayfaları"))*'2. Kampanya Kırılımı'!$H$2,0)</f>
        <v/>
      </c>
      <c r="I10" s="32">
        <f>(E10/SUM($E$4:$E$61))*'2. Kampanya Kırılımı'!$F$2+IF($A10="Doktor Sayfaları",(E10/SUMIFS($E$4:$E$61,$A$4:$A$61,"Doktor Sayfaları"))*'2. Kampanya Kırılımı'!$J$2,0)</f>
        <v/>
      </c>
      <c r="J10" s="32">
        <f>G10*30</f>
        <v/>
      </c>
      <c r="K10" s="32">
        <f>H10*30</f>
        <v/>
      </c>
      <c r="L10" s="32">
        <f>I10*30</f>
        <v/>
      </c>
    </row>
    <row r="11">
      <c r="A11" s="34" t="inlineStr">
        <is>
          <t>Hastane (Kurumsal)</t>
        </is>
      </c>
      <c r="B11" s="34" t="inlineStr">
        <is>
          <t>Lead Toplama (Form)</t>
        </is>
      </c>
      <c r="C11" s="34" t="inlineStr">
        <is>
          <t>Doruk Hastaneleri</t>
        </is>
      </c>
      <c r="D11" s="34" t="inlineStr">
        <is>
          <t>ABO / Rinoplasti / plastik cerrahi / lead</t>
        </is>
      </c>
      <c r="E11" s="35" t="n">
        <v>17457.41</v>
      </c>
      <c r="F11" s="36">
        <f>E11/SUM($E$4:$E$61)</f>
        <v/>
      </c>
      <c r="G11" s="35">
        <f>(E11/SUM($E$4:$E$61))*'2. Kampanya Kırılımı'!$F$2</f>
        <v/>
      </c>
      <c r="H11" s="35">
        <f>(E11/SUM($E$4:$E$61))*'2. Kampanya Kırılımı'!$F$2+IF($A11="Doktor Sayfaları",(E11/SUMIFS($E$4:$E$61,$A$4:$A$61,"Doktor Sayfaları"))*'2. Kampanya Kırılımı'!$H$2,0)</f>
        <v/>
      </c>
      <c r="I11" s="35">
        <f>(E11/SUM($E$4:$E$61))*'2. Kampanya Kırılımı'!$F$2+IF($A11="Doktor Sayfaları",(E11/SUMIFS($E$4:$E$61,$A$4:$A$61,"Doktor Sayfaları"))*'2. Kampanya Kırılımı'!$J$2,0)</f>
        <v/>
      </c>
      <c r="J11" s="35">
        <f>G11*30</f>
        <v/>
      </c>
      <c r="K11" s="35">
        <f>H11*30</f>
        <v/>
      </c>
      <c r="L11" s="35">
        <f>I11*30</f>
        <v/>
      </c>
    </row>
    <row r="12">
      <c r="A12" s="31" t="inlineStr">
        <is>
          <t>Hastane (Kurumsal)</t>
        </is>
      </c>
      <c r="B12" s="31" t="inlineStr">
        <is>
          <t>Lead Toplama (Form)</t>
        </is>
      </c>
      <c r="C12" s="31" t="inlineStr">
        <is>
          <t>Doruk Hastaneleri</t>
        </is>
      </c>
      <c r="D12" s="31" t="inlineStr">
        <is>
          <t>Prostat Checkup - lead</t>
        </is>
      </c>
      <c r="E12" s="32" t="n">
        <v>12585.58</v>
      </c>
      <c r="F12" s="33">
        <f>E12/SUM($E$4:$E$61)</f>
        <v/>
      </c>
      <c r="G12" s="32">
        <f>(E12/SUM($E$4:$E$61))*'2. Kampanya Kırılımı'!$F$2</f>
        <v/>
      </c>
      <c r="H12" s="32">
        <f>(E12/SUM($E$4:$E$61))*'2. Kampanya Kırılımı'!$F$2+IF($A12="Doktor Sayfaları",(E12/SUMIFS($E$4:$E$61,$A$4:$A$61,"Doktor Sayfaları"))*'2. Kampanya Kırılımı'!$H$2,0)</f>
        <v/>
      </c>
      <c r="I12" s="32">
        <f>(E12/SUM($E$4:$E$61))*'2. Kampanya Kırılımı'!$F$2+IF($A12="Doktor Sayfaları",(E12/SUMIFS($E$4:$E$61,$A$4:$A$61,"Doktor Sayfaları"))*'2. Kampanya Kırılımı'!$J$2,0)</f>
        <v/>
      </c>
      <c r="J12" s="32">
        <f>G12*30</f>
        <v/>
      </c>
      <c r="K12" s="32">
        <f>H12*30</f>
        <v/>
      </c>
      <c r="L12" s="32">
        <f>I12*30</f>
        <v/>
      </c>
    </row>
    <row r="13">
      <c r="A13" s="34" t="inlineStr">
        <is>
          <t>Hastane (Kurumsal)</t>
        </is>
      </c>
      <c r="B13" s="34" t="inlineStr">
        <is>
          <t>Lead Toplama (Form)</t>
        </is>
      </c>
      <c r="C13" s="34" t="inlineStr">
        <is>
          <t>Doruk Hastaneleri</t>
        </is>
      </c>
      <c r="D13" s="34" t="inlineStr">
        <is>
          <t>Baş Dönmesi ve Denge Ünitesi / lead</t>
        </is>
      </c>
      <c r="E13" s="35" t="n">
        <v>8676.18</v>
      </c>
      <c r="F13" s="36">
        <f>E13/SUM($E$4:$E$61)</f>
        <v/>
      </c>
      <c r="G13" s="35">
        <f>(E13/SUM($E$4:$E$61))*'2. Kampanya Kırılımı'!$F$2</f>
        <v/>
      </c>
      <c r="H13" s="35">
        <f>(E13/SUM($E$4:$E$61))*'2. Kampanya Kırılımı'!$F$2+IF($A13="Doktor Sayfaları",(E13/SUMIFS($E$4:$E$61,$A$4:$A$61,"Doktor Sayfaları"))*'2. Kampanya Kırılımı'!$H$2,0)</f>
        <v/>
      </c>
      <c r="I13" s="35">
        <f>(E13/SUM($E$4:$E$61))*'2. Kampanya Kırılımı'!$F$2+IF($A13="Doktor Sayfaları",(E13/SUMIFS($E$4:$E$61,$A$4:$A$61,"Doktor Sayfaları"))*'2. Kampanya Kırılımı'!$J$2,0)</f>
        <v/>
      </c>
      <c r="J13" s="35">
        <f>G13*30</f>
        <v/>
      </c>
      <c r="K13" s="35">
        <f>H13*30</f>
        <v/>
      </c>
      <c r="L13" s="35">
        <f>I13*30</f>
        <v/>
      </c>
    </row>
    <row r="14">
      <c r="A14" s="31" t="inlineStr">
        <is>
          <t>Hastane (Kurumsal)</t>
        </is>
      </c>
      <c r="B14" s="31" t="inlineStr">
        <is>
          <t>Lead Toplama (Form)</t>
        </is>
      </c>
      <c r="C14" s="31" t="inlineStr">
        <is>
          <t>Doruk Hastaneleri</t>
        </is>
      </c>
      <c r="D14" s="31" t="inlineStr">
        <is>
          <t>ABO / Vücut Şekillendirme / plastik cerrahi / lead</t>
        </is>
      </c>
      <c r="E14" s="32" t="n">
        <v>6766.13</v>
      </c>
      <c r="F14" s="33">
        <f>E14/SUM($E$4:$E$61)</f>
        <v/>
      </c>
      <c r="G14" s="32">
        <f>(E14/SUM($E$4:$E$61))*'2. Kampanya Kırılımı'!$F$2</f>
        <v/>
      </c>
      <c r="H14" s="32">
        <f>(E14/SUM($E$4:$E$61))*'2. Kampanya Kırılımı'!$F$2+IF($A14="Doktor Sayfaları",(E14/SUMIFS($E$4:$E$61,$A$4:$A$61,"Doktor Sayfaları"))*'2. Kampanya Kırılımı'!$H$2,0)</f>
        <v/>
      </c>
      <c r="I14" s="32">
        <f>(E14/SUM($E$4:$E$61))*'2. Kampanya Kırılımı'!$F$2+IF($A14="Doktor Sayfaları",(E14/SUMIFS($E$4:$E$61,$A$4:$A$61,"Doktor Sayfaları"))*'2. Kampanya Kırılımı'!$J$2,0)</f>
        <v/>
      </c>
      <c r="J14" s="32">
        <f>G14*30</f>
        <v/>
      </c>
      <c r="K14" s="32">
        <f>H14*30</f>
        <v/>
      </c>
      <c r="L14" s="32">
        <f>I14*30</f>
        <v/>
      </c>
    </row>
    <row r="15">
      <c r="A15" s="34" t="inlineStr">
        <is>
          <t>Hastane (Kurumsal)</t>
        </is>
      </c>
      <c r="B15" s="34" t="inlineStr">
        <is>
          <t>Lead Toplama (Form)</t>
        </is>
      </c>
      <c r="C15" s="34" t="inlineStr">
        <is>
          <t>Doruk Hastaneleri</t>
        </is>
      </c>
      <c r="D15" s="34" t="inlineStr">
        <is>
          <t>ABO / Göz Kapağı Estetiği / plastik cerrahi / lead</t>
        </is>
      </c>
      <c r="E15" s="35" t="n">
        <v>6584.95</v>
      </c>
      <c r="F15" s="36">
        <f>E15/SUM($E$4:$E$61)</f>
        <v/>
      </c>
      <c r="G15" s="35">
        <f>(E15/SUM($E$4:$E$61))*'2. Kampanya Kırılımı'!$F$2</f>
        <v/>
      </c>
      <c r="H15" s="35">
        <f>(E15/SUM($E$4:$E$61))*'2. Kampanya Kırılımı'!$F$2+IF($A15="Doktor Sayfaları",(E15/SUMIFS($E$4:$E$61,$A$4:$A$61,"Doktor Sayfaları"))*'2. Kampanya Kırılımı'!$H$2,0)</f>
        <v/>
      </c>
      <c r="I15" s="35">
        <f>(E15/SUM($E$4:$E$61))*'2. Kampanya Kırılımı'!$F$2+IF($A15="Doktor Sayfaları",(E15/SUMIFS($E$4:$E$61,$A$4:$A$61,"Doktor Sayfaları"))*'2. Kampanya Kırılımı'!$J$2,0)</f>
        <v/>
      </c>
      <c r="J15" s="35">
        <f>G15*30</f>
        <v/>
      </c>
      <c r="K15" s="35">
        <f>H15*30</f>
        <v/>
      </c>
      <c r="L15" s="35">
        <f>I15*30</f>
        <v/>
      </c>
    </row>
    <row r="16">
      <c r="A16" s="31" t="inlineStr">
        <is>
          <t>Hastane (Kurumsal)</t>
        </is>
      </c>
      <c r="B16" s="31" t="inlineStr">
        <is>
          <t>Lead Toplama (Form)</t>
        </is>
      </c>
      <c r="C16" s="31" t="inlineStr">
        <is>
          <t>Doruk Hastaneleri</t>
        </is>
      </c>
      <c r="D16" s="31" t="inlineStr">
        <is>
          <t>ABO / Yüz Germe (Facelift) / plastik cerrahi / lead</t>
        </is>
      </c>
      <c r="E16" s="32" t="n">
        <v>6554.56</v>
      </c>
      <c r="F16" s="33">
        <f>E16/SUM($E$4:$E$61)</f>
        <v/>
      </c>
      <c r="G16" s="32">
        <f>(E16/SUM($E$4:$E$61))*'2. Kampanya Kırılımı'!$F$2</f>
        <v/>
      </c>
      <c r="H16" s="32">
        <f>(E16/SUM($E$4:$E$61))*'2. Kampanya Kırılımı'!$F$2+IF($A16="Doktor Sayfaları",(E16/SUMIFS($E$4:$E$61,$A$4:$A$61,"Doktor Sayfaları"))*'2. Kampanya Kırılımı'!$H$2,0)</f>
        <v/>
      </c>
      <c r="I16" s="32">
        <f>(E16/SUM($E$4:$E$61))*'2. Kampanya Kırılımı'!$F$2+IF($A16="Doktor Sayfaları",(E16/SUMIFS($E$4:$E$61,$A$4:$A$61,"Doktor Sayfaları"))*'2. Kampanya Kırılımı'!$J$2,0)</f>
        <v/>
      </c>
      <c r="J16" s="32">
        <f>G16*30</f>
        <v/>
      </c>
      <c r="K16" s="32">
        <f>H16*30</f>
        <v/>
      </c>
      <c r="L16" s="32">
        <f>I16*30</f>
        <v/>
      </c>
    </row>
    <row r="17">
      <c r="A17" s="34" t="inlineStr">
        <is>
          <t>Hastane (Kurumsal)</t>
        </is>
      </c>
      <c r="B17" s="34" t="inlineStr">
        <is>
          <t>Lead Toplama (Form)</t>
        </is>
      </c>
      <c r="C17" s="34" t="inlineStr">
        <is>
          <t>Doruk Hastaneleri</t>
        </is>
      </c>
      <c r="D17" s="34" t="inlineStr">
        <is>
          <t>ABO /Kepçe Kulak / plastik cerrahi / lead</t>
        </is>
      </c>
      <c r="E17" s="35" t="n">
        <v>6470.12</v>
      </c>
      <c r="F17" s="36">
        <f>E17/SUM($E$4:$E$61)</f>
        <v/>
      </c>
      <c r="G17" s="35">
        <f>(E17/SUM($E$4:$E$61))*'2. Kampanya Kırılımı'!$F$2</f>
        <v/>
      </c>
      <c r="H17" s="35">
        <f>(E17/SUM($E$4:$E$61))*'2. Kampanya Kırılımı'!$F$2+IF($A17="Doktor Sayfaları",(E17/SUMIFS($E$4:$E$61,$A$4:$A$61,"Doktor Sayfaları"))*'2. Kampanya Kırılımı'!$H$2,0)</f>
        <v/>
      </c>
      <c r="I17" s="35">
        <f>(E17/SUM($E$4:$E$61))*'2. Kampanya Kırılımı'!$F$2+IF($A17="Doktor Sayfaları",(E17/SUMIFS($E$4:$E$61,$A$4:$A$61,"Doktor Sayfaları"))*'2. Kampanya Kırılımı'!$J$2,0)</f>
        <v/>
      </c>
      <c r="J17" s="35">
        <f>G17*30</f>
        <v/>
      </c>
      <c r="K17" s="35">
        <f>H17*30</f>
        <v/>
      </c>
      <c r="L17" s="35">
        <f>I17*30</f>
        <v/>
      </c>
    </row>
    <row r="18">
      <c r="A18" s="31" t="inlineStr">
        <is>
          <t>Hastane (Kurumsal)</t>
        </is>
      </c>
      <c r="B18" s="31" t="inlineStr">
        <is>
          <t>Lead Toplama (Form)</t>
        </is>
      </c>
      <c r="C18" s="31" t="inlineStr">
        <is>
          <t>Doruk Hastaneleri</t>
        </is>
      </c>
      <c r="D18" s="31" t="inlineStr">
        <is>
          <t>ABO /Jinekomasti / plastik cerrahi / lead</t>
        </is>
      </c>
      <c r="E18" s="32" t="n">
        <v>6426.72</v>
      </c>
      <c r="F18" s="33">
        <f>E18/SUM($E$4:$E$61)</f>
        <v/>
      </c>
      <c r="G18" s="32">
        <f>(E18/SUM($E$4:$E$61))*'2. Kampanya Kırılımı'!$F$2</f>
        <v/>
      </c>
      <c r="H18" s="32">
        <f>(E18/SUM($E$4:$E$61))*'2. Kampanya Kırılımı'!$F$2+IF($A18="Doktor Sayfaları",(E18/SUMIFS($E$4:$E$61,$A$4:$A$61,"Doktor Sayfaları"))*'2. Kampanya Kırılımı'!$H$2,0)</f>
        <v/>
      </c>
      <c r="I18" s="32">
        <f>(E18/SUM($E$4:$E$61))*'2. Kampanya Kırılımı'!$F$2+IF($A18="Doktor Sayfaları",(E18/SUMIFS($E$4:$E$61,$A$4:$A$61,"Doktor Sayfaları"))*'2. Kampanya Kırılımı'!$J$2,0)</f>
        <v/>
      </c>
      <c r="J18" s="32">
        <f>G18*30</f>
        <v/>
      </c>
      <c r="K18" s="32">
        <f>H18*30</f>
        <v/>
      </c>
      <c r="L18" s="32">
        <f>I18*30</f>
        <v/>
      </c>
    </row>
    <row r="19">
      <c r="A19" s="34" t="inlineStr">
        <is>
          <t>Hastane (Kurumsal)</t>
        </is>
      </c>
      <c r="B19" s="34" t="inlineStr">
        <is>
          <t>Instagram Öne Çıkarma</t>
        </is>
      </c>
      <c r="C19" s="34" t="inlineStr">
        <is>
          <t>Doruk Hastaneleri</t>
        </is>
      </c>
      <c r="D19" s="34" t="inlineStr">
        <is>
          <t>Instagram gönderisi: Bir sezon boyunca ortaya...</t>
        </is>
      </c>
      <c r="E19" s="35" t="n">
        <v>93455.89999999999</v>
      </c>
      <c r="F19" s="36">
        <f>E19/SUM($E$4:$E$61)</f>
        <v/>
      </c>
      <c r="G19" s="35">
        <f>(E19/SUM($E$4:$E$61))*'2. Kampanya Kırılımı'!$F$2</f>
        <v/>
      </c>
      <c r="H19" s="35">
        <f>(E19/SUM($E$4:$E$61))*'2. Kampanya Kırılımı'!$F$2+IF($A19="Doktor Sayfaları",(E19/SUMIFS($E$4:$E$61,$A$4:$A$61,"Doktor Sayfaları"))*'2. Kampanya Kırılımı'!$H$2,0)</f>
        <v/>
      </c>
      <c r="I19" s="35">
        <f>(E19/SUM($E$4:$E$61))*'2. Kampanya Kırılımı'!$F$2+IF($A19="Doktor Sayfaları",(E19/SUMIFS($E$4:$E$61,$A$4:$A$61,"Doktor Sayfaları"))*'2. Kampanya Kırılımı'!$J$2,0)</f>
        <v/>
      </c>
      <c r="J19" s="35">
        <f>G19*30</f>
        <v/>
      </c>
      <c r="K19" s="35">
        <f>H19*30</f>
        <v/>
      </c>
      <c r="L19" s="35">
        <f>I19*30</f>
        <v/>
      </c>
    </row>
    <row r="20">
      <c r="A20" s="31" t="inlineStr">
        <is>
          <t>Hastane (Kurumsal)</t>
        </is>
      </c>
      <c r="B20" s="31" t="inlineStr">
        <is>
          <t>Instagram Öne Çıkarma</t>
        </is>
      </c>
      <c r="C20" s="31" t="inlineStr">
        <is>
          <t>Doruk Hastaneleri</t>
        </is>
      </c>
      <c r="D20" s="31" t="inlineStr">
        <is>
          <t>Instagram gönderisi: Doruk Sağlık Grubu olarak,...</t>
        </is>
      </c>
      <c r="E20" s="32" t="n">
        <v>46303.32</v>
      </c>
      <c r="F20" s="33">
        <f>E20/SUM($E$4:$E$61)</f>
        <v/>
      </c>
      <c r="G20" s="32">
        <f>(E20/SUM($E$4:$E$61))*'2. Kampanya Kırılımı'!$F$2</f>
        <v/>
      </c>
      <c r="H20" s="32">
        <f>(E20/SUM($E$4:$E$61))*'2. Kampanya Kırılımı'!$F$2+IF($A20="Doktor Sayfaları",(E20/SUMIFS($E$4:$E$61,$A$4:$A$61,"Doktor Sayfaları"))*'2. Kampanya Kırılımı'!$H$2,0)</f>
        <v/>
      </c>
      <c r="I20" s="32">
        <f>(E20/SUM($E$4:$E$61))*'2. Kampanya Kırılımı'!$F$2+IF($A20="Doktor Sayfaları",(E20/SUMIFS($E$4:$E$61,$A$4:$A$61,"Doktor Sayfaları"))*'2. Kampanya Kırılımı'!$J$2,0)</f>
        <v/>
      </c>
      <c r="J20" s="32">
        <f>G20*30</f>
        <v/>
      </c>
      <c r="K20" s="32">
        <f>H20*30</f>
        <v/>
      </c>
      <c r="L20" s="32">
        <f>I20*30</f>
        <v/>
      </c>
    </row>
    <row r="21">
      <c r="A21" s="34" t="inlineStr">
        <is>
          <t>Hastane (Kurumsal)</t>
        </is>
      </c>
      <c r="B21" s="34" t="inlineStr">
        <is>
          <t>Instagram Öne Çıkarma</t>
        </is>
      </c>
      <c r="C21" s="34" t="inlineStr">
        <is>
          <t>Doruk Hastaneleri</t>
        </is>
      </c>
      <c r="D21" s="34" t="inlineStr">
        <is>
          <t>Instagram gönderisi: Doruk Bülten’in yeni sayısı...</t>
        </is>
      </c>
      <c r="E21" s="35" t="n">
        <v>10963.05</v>
      </c>
      <c r="F21" s="36">
        <f>E21/SUM($E$4:$E$61)</f>
        <v/>
      </c>
      <c r="G21" s="35">
        <f>(E21/SUM($E$4:$E$61))*'2. Kampanya Kırılımı'!$F$2</f>
        <v/>
      </c>
      <c r="H21" s="35">
        <f>(E21/SUM($E$4:$E$61))*'2. Kampanya Kırılımı'!$F$2+IF($A21="Doktor Sayfaları",(E21/SUMIFS($E$4:$E$61,$A$4:$A$61,"Doktor Sayfaları"))*'2. Kampanya Kırılımı'!$H$2,0)</f>
        <v/>
      </c>
      <c r="I21" s="35">
        <f>(E21/SUM($E$4:$E$61))*'2. Kampanya Kırılımı'!$F$2+IF($A21="Doktor Sayfaları",(E21/SUMIFS($E$4:$E$61,$A$4:$A$61,"Doktor Sayfaları"))*'2. Kampanya Kırılımı'!$J$2,0)</f>
        <v/>
      </c>
      <c r="J21" s="35">
        <f>G21*30</f>
        <v/>
      </c>
      <c r="K21" s="35">
        <f>H21*30</f>
        <v/>
      </c>
      <c r="L21" s="35">
        <f>I21*30</f>
        <v/>
      </c>
    </row>
    <row r="22">
      <c r="A22" s="31" t="inlineStr">
        <is>
          <t>Hastane (Kurumsal)</t>
        </is>
      </c>
      <c r="B22" s="31" t="inlineStr">
        <is>
          <t>Instagram Öne Çıkarma</t>
        </is>
      </c>
      <c r="C22" s="31" t="inlineStr">
        <is>
          <t>Doruk Hastaneleri</t>
        </is>
      </c>
      <c r="D22" s="31" t="inlineStr">
        <is>
          <t>Instagram gönderisi: Doğum şekli, gebelik...</t>
        </is>
      </c>
      <c r="E22" s="32" t="n">
        <v>6811.3</v>
      </c>
      <c r="F22" s="33">
        <f>E22/SUM($E$4:$E$61)</f>
        <v/>
      </c>
      <c r="G22" s="32">
        <f>(E22/SUM($E$4:$E$61))*'2. Kampanya Kırılımı'!$F$2</f>
        <v/>
      </c>
      <c r="H22" s="32">
        <f>(E22/SUM($E$4:$E$61))*'2. Kampanya Kırılımı'!$F$2+IF($A22="Doktor Sayfaları",(E22/SUMIFS($E$4:$E$61,$A$4:$A$61,"Doktor Sayfaları"))*'2. Kampanya Kırılımı'!$H$2,0)</f>
        <v/>
      </c>
      <c r="I22" s="32">
        <f>(E22/SUM($E$4:$E$61))*'2. Kampanya Kırılımı'!$F$2+IF($A22="Doktor Sayfaları",(E22/SUMIFS($E$4:$E$61,$A$4:$A$61,"Doktor Sayfaları"))*'2. Kampanya Kırılımı'!$J$2,0)</f>
        <v/>
      </c>
      <c r="J22" s="32">
        <f>G22*30</f>
        <v/>
      </c>
      <c r="K22" s="32">
        <f>H22*30</f>
        <v/>
      </c>
      <c r="L22" s="32">
        <f>I22*30</f>
        <v/>
      </c>
    </row>
    <row r="23">
      <c r="A23" s="34" t="inlineStr">
        <is>
          <t>Hastane (Kurumsal)</t>
        </is>
      </c>
      <c r="B23" s="34" t="inlineStr">
        <is>
          <t>Instagram Öne Çıkarma</t>
        </is>
      </c>
      <c r="C23" s="34" t="inlineStr">
        <is>
          <t>Doruk Hastaneleri</t>
        </is>
      </c>
      <c r="D23" s="34" t="inlineStr">
        <is>
          <t>Instagram gönderisi: Meme kanseri, kadınlarda en...</t>
        </is>
      </c>
      <c r="E23" s="35" t="n">
        <v>6787.59</v>
      </c>
      <c r="F23" s="36">
        <f>E23/SUM($E$4:$E$61)</f>
        <v/>
      </c>
      <c r="G23" s="35">
        <f>(E23/SUM($E$4:$E$61))*'2. Kampanya Kırılımı'!$F$2</f>
        <v/>
      </c>
      <c r="H23" s="35">
        <f>(E23/SUM($E$4:$E$61))*'2. Kampanya Kırılımı'!$F$2+IF($A23="Doktor Sayfaları",(E23/SUMIFS($E$4:$E$61,$A$4:$A$61,"Doktor Sayfaları"))*'2. Kampanya Kırılımı'!$H$2,0)</f>
        <v/>
      </c>
      <c r="I23" s="35">
        <f>(E23/SUM($E$4:$E$61))*'2. Kampanya Kırılımı'!$F$2+IF($A23="Doktor Sayfaları",(E23/SUMIFS($E$4:$E$61,$A$4:$A$61,"Doktor Sayfaları"))*'2. Kampanya Kırılımı'!$J$2,0)</f>
        <v/>
      </c>
      <c r="J23" s="35">
        <f>G23*30</f>
        <v/>
      </c>
      <c r="K23" s="35">
        <f>H23*30</f>
        <v/>
      </c>
      <c r="L23" s="35">
        <f>I23*30</f>
        <v/>
      </c>
    </row>
    <row r="24">
      <c r="A24" s="31" t="inlineStr">
        <is>
          <t>Hastane (Kurumsal)</t>
        </is>
      </c>
      <c r="B24" s="31" t="inlineStr">
        <is>
          <t>Instagram Öne Çıkarma</t>
        </is>
      </c>
      <c r="C24" s="31" t="inlineStr">
        <is>
          <t>Doruk Hastaneleri</t>
        </is>
      </c>
      <c r="D24" s="31" t="inlineStr">
        <is>
          <t>Instagram gönderisi: Böbrek taşı tedavisinde...</t>
        </is>
      </c>
      <c r="E24" s="32" t="n">
        <v>4287.22</v>
      </c>
      <c r="F24" s="33">
        <f>E24/SUM($E$4:$E$61)</f>
        <v/>
      </c>
      <c r="G24" s="32">
        <f>(E24/SUM($E$4:$E$61))*'2. Kampanya Kırılımı'!$F$2</f>
        <v/>
      </c>
      <c r="H24" s="32">
        <f>(E24/SUM($E$4:$E$61))*'2. Kampanya Kırılımı'!$F$2+IF($A24="Doktor Sayfaları",(E24/SUMIFS($E$4:$E$61,$A$4:$A$61,"Doktor Sayfaları"))*'2. Kampanya Kırılımı'!$H$2,0)</f>
        <v/>
      </c>
      <c r="I24" s="32">
        <f>(E24/SUM($E$4:$E$61))*'2. Kampanya Kırılımı'!$F$2+IF($A24="Doktor Sayfaları",(E24/SUMIFS($E$4:$E$61,$A$4:$A$61,"Doktor Sayfaları"))*'2. Kampanya Kırılımı'!$J$2,0)</f>
        <v/>
      </c>
      <c r="J24" s="32">
        <f>G24*30</f>
        <v/>
      </c>
      <c r="K24" s="32">
        <f>H24*30</f>
        <v/>
      </c>
      <c r="L24" s="32">
        <f>I24*30</f>
        <v/>
      </c>
    </row>
    <row r="25">
      <c r="A25" s="34" t="inlineStr">
        <is>
          <t>Hastane (Kurumsal)</t>
        </is>
      </c>
      <c r="B25" s="34" t="inlineStr">
        <is>
          <t>Instagram Öne Çıkarma</t>
        </is>
      </c>
      <c r="C25" s="34" t="inlineStr">
        <is>
          <t>Doruk Hastaneleri</t>
        </is>
      </c>
      <c r="D25" s="34" t="inlineStr">
        <is>
          <t>Instagram gönderisi: Fetal gelişim kısıtlılığı,...</t>
        </is>
      </c>
      <c r="E25" s="35" t="n">
        <v>3062.95</v>
      </c>
      <c r="F25" s="36">
        <f>E25/SUM($E$4:$E$61)</f>
        <v/>
      </c>
      <c r="G25" s="35">
        <f>(E25/SUM($E$4:$E$61))*'2. Kampanya Kırılımı'!$F$2</f>
        <v/>
      </c>
      <c r="H25" s="35">
        <f>(E25/SUM($E$4:$E$61))*'2. Kampanya Kırılımı'!$F$2+IF($A25="Doktor Sayfaları",(E25/SUMIFS($E$4:$E$61,$A$4:$A$61,"Doktor Sayfaları"))*'2. Kampanya Kırılımı'!$H$2,0)</f>
        <v/>
      </c>
      <c r="I25" s="35">
        <f>(E25/SUM($E$4:$E$61))*'2. Kampanya Kırılımı'!$F$2+IF($A25="Doktor Sayfaları",(E25/SUMIFS($E$4:$E$61,$A$4:$A$61,"Doktor Sayfaları"))*'2. Kampanya Kırılımı'!$J$2,0)</f>
        <v/>
      </c>
      <c r="J25" s="35">
        <f>G25*30</f>
        <v/>
      </c>
      <c r="K25" s="35">
        <f>H25*30</f>
        <v/>
      </c>
      <c r="L25" s="35">
        <f>I25*30</f>
        <v/>
      </c>
    </row>
    <row r="26">
      <c r="A26" s="31" t="inlineStr">
        <is>
          <t>Hastane (Kurumsal)</t>
        </is>
      </c>
      <c r="B26" s="31" t="inlineStr">
        <is>
          <t>Instagram Öne Çıkarma</t>
        </is>
      </c>
      <c r="C26" s="31" t="inlineStr">
        <is>
          <t>Doruk Hastaneleri</t>
        </is>
      </c>
      <c r="D26" s="31" t="inlineStr">
        <is>
          <t>Instagram gönderisi: Prostat cerrahisinde gelişen...</t>
        </is>
      </c>
      <c r="E26" s="32" t="n">
        <v>3035.51</v>
      </c>
      <c r="F26" s="33">
        <f>E26/SUM($E$4:$E$61)</f>
        <v/>
      </c>
      <c r="G26" s="32">
        <f>(E26/SUM($E$4:$E$61))*'2. Kampanya Kırılımı'!$F$2</f>
        <v/>
      </c>
      <c r="H26" s="32">
        <f>(E26/SUM($E$4:$E$61))*'2. Kampanya Kırılımı'!$F$2+IF($A26="Doktor Sayfaları",(E26/SUMIFS($E$4:$E$61,$A$4:$A$61,"Doktor Sayfaları"))*'2. Kampanya Kırılımı'!$H$2,0)</f>
        <v/>
      </c>
      <c r="I26" s="32">
        <f>(E26/SUM($E$4:$E$61))*'2. Kampanya Kırılımı'!$F$2+IF($A26="Doktor Sayfaları",(E26/SUMIFS($E$4:$E$61,$A$4:$A$61,"Doktor Sayfaları"))*'2. Kampanya Kırılımı'!$J$2,0)</f>
        <v/>
      </c>
      <c r="J26" s="32">
        <f>G26*30</f>
        <v/>
      </c>
      <c r="K26" s="32">
        <f>H26*30</f>
        <v/>
      </c>
      <c r="L26" s="32">
        <f>I26*30</f>
        <v/>
      </c>
    </row>
    <row r="27">
      <c r="A27" s="34" t="inlineStr">
        <is>
          <t>Hastane (Kurumsal)</t>
        </is>
      </c>
      <c r="B27" s="34" t="inlineStr">
        <is>
          <t>Instagram Öne Çıkarma</t>
        </is>
      </c>
      <c r="C27" s="34" t="inlineStr">
        <is>
          <t>Doruk Hastaneleri</t>
        </is>
      </c>
      <c r="D27" s="34" t="inlineStr">
        <is>
          <t>Instagram gönderisi: İlişki sonrasında idrar...</t>
        </is>
      </c>
      <c r="E27" s="35" t="n">
        <v>424.39</v>
      </c>
      <c r="F27" s="36">
        <f>E27/SUM($E$4:$E$61)</f>
        <v/>
      </c>
      <c r="G27" s="35">
        <f>(E27/SUM($E$4:$E$61))*'2. Kampanya Kırılımı'!$F$2</f>
        <v/>
      </c>
      <c r="H27" s="35">
        <f>(E27/SUM($E$4:$E$61))*'2. Kampanya Kırılımı'!$F$2+IF($A27="Doktor Sayfaları",(E27/SUMIFS($E$4:$E$61,$A$4:$A$61,"Doktor Sayfaları"))*'2. Kampanya Kırılımı'!$H$2,0)</f>
        <v/>
      </c>
      <c r="I27" s="35">
        <f>(E27/SUM($E$4:$E$61))*'2. Kampanya Kırılımı'!$F$2+IF($A27="Doktor Sayfaları",(E27/SUMIFS($E$4:$E$61,$A$4:$A$61,"Doktor Sayfaları"))*'2. Kampanya Kırılımı'!$J$2,0)</f>
        <v/>
      </c>
      <c r="J27" s="35">
        <f>G27*30</f>
        <v/>
      </c>
      <c r="K27" s="35">
        <f>H27*30</f>
        <v/>
      </c>
      <c r="L27" s="35">
        <f>I27*30</f>
        <v/>
      </c>
    </row>
    <row r="28">
      <c r="A28" s="31" t="inlineStr">
        <is>
          <t>Hastane (Kurumsal)</t>
        </is>
      </c>
      <c r="B28" s="31" t="inlineStr">
        <is>
          <t>Instagram Öne Çıkarma</t>
        </is>
      </c>
      <c r="C28" s="31" t="inlineStr">
        <is>
          <t>Doruk Hastaneleri</t>
        </is>
      </c>
      <c r="D28" s="31" t="inlineStr">
        <is>
          <t>Instagram gönderisi: 🏅 BURSA'DA BİR İLK
Özel...</t>
        </is>
      </c>
      <c r="E28" s="32" t="n">
        <v>408.52</v>
      </c>
      <c r="F28" s="33">
        <f>E28/SUM($E$4:$E$61)</f>
        <v/>
      </c>
      <c r="G28" s="32">
        <f>(E28/SUM($E$4:$E$61))*'2. Kampanya Kırılımı'!$F$2</f>
        <v/>
      </c>
      <c r="H28" s="32">
        <f>(E28/SUM($E$4:$E$61))*'2. Kampanya Kırılımı'!$F$2+IF($A28="Doktor Sayfaları",(E28/SUMIFS($E$4:$E$61,$A$4:$A$61,"Doktor Sayfaları"))*'2. Kampanya Kırılımı'!$H$2,0)</f>
        <v/>
      </c>
      <c r="I28" s="32">
        <f>(E28/SUM($E$4:$E$61))*'2. Kampanya Kırılımı'!$F$2+IF($A28="Doktor Sayfaları",(E28/SUMIFS($E$4:$E$61,$A$4:$A$61,"Doktor Sayfaları"))*'2. Kampanya Kırılımı'!$J$2,0)</f>
        <v/>
      </c>
      <c r="J28" s="32">
        <f>G28*30</f>
        <v/>
      </c>
      <c r="K28" s="32">
        <f>H28*30</f>
        <v/>
      </c>
      <c r="L28" s="32">
        <f>I28*30</f>
        <v/>
      </c>
    </row>
    <row r="29">
      <c r="A29" s="34" t="inlineStr">
        <is>
          <t>Hastane (Kurumsal)</t>
        </is>
      </c>
      <c r="B29" s="34" t="inlineStr">
        <is>
          <t>Instagram Öne Çıkarma</t>
        </is>
      </c>
      <c r="C29" s="34" t="inlineStr">
        <is>
          <t>Doruk Hastaneleri</t>
        </is>
      </c>
      <c r="D29" s="34" t="inlineStr">
        <is>
          <t>Instagram gönderisi: Gebelikte bel ağrısı sık...</t>
        </is>
      </c>
      <c r="E29" s="35" t="n">
        <v>389.79</v>
      </c>
      <c r="F29" s="36">
        <f>E29/SUM($E$4:$E$61)</f>
        <v/>
      </c>
      <c r="G29" s="35">
        <f>(E29/SUM($E$4:$E$61))*'2. Kampanya Kırılımı'!$F$2</f>
        <v/>
      </c>
      <c r="H29" s="35">
        <f>(E29/SUM($E$4:$E$61))*'2. Kampanya Kırılımı'!$F$2+IF($A29="Doktor Sayfaları",(E29/SUMIFS($E$4:$E$61,$A$4:$A$61,"Doktor Sayfaları"))*'2. Kampanya Kırılımı'!$H$2,0)</f>
        <v/>
      </c>
      <c r="I29" s="35">
        <f>(E29/SUM($E$4:$E$61))*'2. Kampanya Kırılımı'!$F$2+IF($A29="Doktor Sayfaları",(E29/SUMIFS($E$4:$E$61,$A$4:$A$61,"Doktor Sayfaları"))*'2. Kampanya Kırılımı'!$J$2,0)</f>
        <v/>
      </c>
      <c r="J29" s="35">
        <f>G29*30</f>
        <v/>
      </c>
      <c r="K29" s="35">
        <f>H29*30</f>
        <v/>
      </c>
      <c r="L29" s="35">
        <f>I29*30</f>
        <v/>
      </c>
    </row>
    <row r="30">
      <c r="A30" s="31" t="inlineStr">
        <is>
          <t>Hastane (Kurumsal)</t>
        </is>
      </c>
      <c r="B30" s="31" t="inlineStr">
        <is>
          <t>Instagram Öne Çıkarma</t>
        </is>
      </c>
      <c r="C30" s="31" t="inlineStr">
        <is>
          <t>Doruk Hastaneleri</t>
        </is>
      </c>
      <c r="D30" s="31" t="inlineStr">
        <is>
          <t>Instagram gönderisi: Aşılama tedavisi, gebelik...</t>
        </is>
      </c>
      <c r="E30" s="32" t="n">
        <v>383.58</v>
      </c>
      <c r="F30" s="33">
        <f>E30/SUM($E$4:$E$61)</f>
        <v/>
      </c>
      <c r="G30" s="32">
        <f>(E30/SUM($E$4:$E$61))*'2. Kampanya Kırılımı'!$F$2</f>
        <v/>
      </c>
      <c r="H30" s="32">
        <f>(E30/SUM($E$4:$E$61))*'2. Kampanya Kırılımı'!$F$2+IF($A30="Doktor Sayfaları",(E30/SUMIFS($E$4:$E$61,$A$4:$A$61,"Doktor Sayfaları"))*'2. Kampanya Kırılımı'!$H$2,0)</f>
        <v/>
      </c>
      <c r="I30" s="32">
        <f>(E30/SUM($E$4:$E$61))*'2. Kampanya Kırılımı'!$F$2+IF($A30="Doktor Sayfaları",(E30/SUMIFS($E$4:$E$61,$A$4:$A$61,"Doktor Sayfaları"))*'2. Kampanya Kırılımı'!$J$2,0)</f>
        <v/>
      </c>
      <c r="J30" s="32">
        <f>G30*30</f>
        <v/>
      </c>
      <c r="K30" s="32">
        <f>H30*30</f>
        <v/>
      </c>
      <c r="L30" s="32">
        <f>I30*30</f>
        <v/>
      </c>
    </row>
    <row r="31">
      <c r="A31" s="34" t="inlineStr">
        <is>
          <t>Hastane (Kurumsal)</t>
        </is>
      </c>
      <c r="B31" s="34" t="inlineStr">
        <is>
          <t>Instagram Öne Çıkarma</t>
        </is>
      </c>
      <c r="C31" s="34" t="inlineStr">
        <is>
          <t>Doruk Hastaneleri</t>
        </is>
      </c>
      <c r="D31" s="34" t="inlineStr">
        <is>
          <t>Instagram gönderisi: Ablasyon tedavisi, vücutta...</t>
        </is>
      </c>
      <c r="E31" s="35" t="n">
        <v>370.9</v>
      </c>
      <c r="F31" s="36">
        <f>E31/SUM($E$4:$E$61)</f>
        <v/>
      </c>
      <c r="G31" s="35">
        <f>(E31/SUM($E$4:$E$61))*'2. Kampanya Kırılımı'!$F$2</f>
        <v/>
      </c>
      <c r="H31" s="35">
        <f>(E31/SUM($E$4:$E$61))*'2. Kampanya Kırılımı'!$F$2+IF($A31="Doktor Sayfaları",(E31/SUMIFS($E$4:$E$61,$A$4:$A$61,"Doktor Sayfaları"))*'2. Kampanya Kırılımı'!$H$2,0)</f>
        <v/>
      </c>
      <c r="I31" s="35">
        <f>(E31/SUM($E$4:$E$61))*'2. Kampanya Kırılımı'!$F$2+IF($A31="Doktor Sayfaları",(E31/SUMIFS($E$4:$E$61,$A$4:$A$61,"Doktor Sayfaları"))*'2. Kampanya Kırılımı'!$J$2,0)</f>
        <v/>
      </c>
      <c r="J31" s="35">
        <f>G31*30</f>
        <v/>
      </c>
      <c r="K31" s="35">
        <f>H31*30</f>
        <v/>
      </c>
      <c r="L31" s="35">
        <f>I31*30</f>
        <v/>
      </c>
    </row>
    <row r="32">
      <c r="A32" s="31" t="inlineStr">
        <is>
          <t>Hastane (Kurumsal)</t>
        </is>
      </c>
      <c r="B32" s="31" t="inlineStr">
        <is>
          <t>Marka Bilinirliği (Erişim)</t>
        </is>
      </c>
      <c r="C32" s="31" t="inlineStr">
        <is>
          <t>Doruk Hastaneleri</t>
        </is>
      </c>
      <c r="D32" s="31" t="inlineStr">
        <is>
          <t>Doktor - Bilinirlik Kampanyası - Nilüfer</t>
        </is>
      </c>
      <c r="E32" s="32" t="n">
        <v>132923.79</v>
      </c>
      <c r="F32" s="33">
        <f>E32/SUM($E$4:$E$61)</f>
        <v/>
      </c>
      <c r="G32" s="32">
        <f>(E32/SUM($E$4:$E$61))*'2. Kampanya Kırılımı'!$F$2</f>
        <v/>
      </c>
      <c r="H32" s="32">
        <f>(E32/SUM($E$4:$E$61))*'2. Kampanya Kırılımı'!$F$2+IF($A32="Doktor Sayfaları",(E32/SUMIFS($E$4:$E$61,$A$4:$A$61,"Doktor Sayfaları"))*'2. Kampanya Kırılımı'!$H$2,0)</f>
        <v/>
      </c>
      <c r="I32" s="32">
        <f>(E32/SUM($E$4:$E$61))*'2. Kampanya Kırılımı'!$F$2+IF($A32="Doktor Sayfaları",(E32/SUMIFS($E$4:$E$61,$A$4:$A$61,"Doktor Sayfaları"))*'2. Kampanya Kırılımı'!$J$2,0)</f>
        <v/>
      </c>
      <c r="J32" s="32">
        <f>G32*30</f>
        <v/>
      </c>
      <c r="K32" s="32">
        <f>H32*30</f>
        <v/>
      </c>
      <c r="L32" s="32">
        <f>I32*30</f>
        <v/>
      </c>
    </row>
    <row r="33">
      <c r="A33" s="34" t="inlineStr">
        <is>
          <t>Hastane (Kurumsal)</t>
        </is>
      </c>
      <c r="B33" s="34" t="inlineStr">
        <is>
          <t>Marka Bilinirliği (Erişim)</t>
        </is>
      </c>
      <c r="C33" s="34" t="inlineStr">
        <is>
          <t>Doruk Hastaneleri</t>
        </is>
      </c>
      <c r="D33" s="34" t="inlineStr">
        <is>
          <t>ÖSS-TSS - marka bilinirliği</t>
        </is>
      </c>
      <c r="E33" s="35" t="n">
        <v>46163.29</v>
      </c>
      <c r="F33" s="36">
        <f>E33/SUM($E$4:$E$61)</f>
        <v/>
      </c>
      <c r="G33" s="35">
        <f>(E33/SUM($E$4:$E$61))*'2. Kampanya Kırılımı'!$F$2</f>
        <v/>
      </c>
      <c r="H33" s="35">
        <f>(E33/SUM($E$4:$E$61))*'2. Kampanya Kırılımı'!$F$2+IF($A33="Doktor Sayfaları",(E33/SUMIFS($E$4:$E$61,$A$4:$A$61,"Doktor Sayfaları"))*'2. Kampanya Kırılımı'!$H$2,0)</f>
        <v/>
      </c>
      <c r="I33" s="35">
        <f>(E33/SUM($E$4:$E$61))*'2. Kampanya Kırılımı'!$F$2+IF($A33="Doktor Sayfaları",(E33/SUMIFS($E$4:$E$61,$A$4:$A$61,"Doktor Sayfaları"))*'2. Kampanya Kırılımı'!$J$2,0)</f>
        <v/>
      </c>
      <c r="J33" s="35">
        <f>G33*30</f>
        <v/>
      </c>
      <c r="K33" s="35">
        <f>H33*30</f>
        <v/>
      </c>
      <c r="L33" s="35">
        <f>I33*30</f>
        <v/>
      </c>
    </row>
    <row r="34">
      <c r="A34" s="31" t="inlineStr">
        <is>
          <t>Hastane (Kurumsal)</t>
        </is>
      </c>
      <c r="B34" s="31" t="inlineStr">
        <is>
          <t>Marka Bilinirliği (Erişim)</t>
        </is>
      </c>
      <c r="C34" s="31" t="inlineStr">
        <is>
          <t>Doruk Hastaneleri</t>
        </is>
      </c>
      <c r="D34" s="31" t="inlineStr">
        <is>
          <t>Gebe-Doğum Bilinirlik</t>
        </is>
      </c>
      <c r="E34" s="32" t="n">
        <v>23489.82</v>
      </c>
      <c r="F34" s="33">
        <f>E34/SUM($E$4:$E$61)</f>
        <v/>
      </c>
      <c r="G34" s="32">
        <f>(E34/SUM($E$4:$E$61))*'2. Kampanya Kırılımı'!$F$2</f>
        <v/>
      </c>
      <c r="H34" s="32">
        <f>(E34/SUM($E$4:$E$61))*'2. Kampanya Kırılımı'!$F$2+IF($A34="Doktor Sayfaları",(E34/SUMIFS($E$4:$E$61,$A$4:$A$61,"Doktor Sayfaları"))*'2. Kampanya Kırılımı'!$H$2,0)</f>
        <v/>
      </c>
      <c r="I34" s="32">
        <f>(E34/SUM($E$4:$E$61))*'2. Kampanya Kırılımı'!$F$2+IF($A34="Doktor Sayfaları",(E34/SUMIFS($E$4:$E$61,$A$4:$A$61,"Doktor Sayfaları"))*'2. Kampanya Kırılımı'!$J$2,0)</f>
        <v/>
      </c>
      <c r="J34" s="32">
        <f>G34*30</f>
        <v/>
      </c>
      <c r="K34" s="32">
        <f>H34*30</f>
        <v/>
      </c>
      <c r="L34" s="32">
        <f>I34*30</f>
        <v/>
      </c>
    </row>
    <row r="35">
      <c r="A35" s="34" t="inlineStr">
        <is>
          <t>Hastane (Kurumsal)</t>
        </is>
      </c>
      <c r="B35" s="34" t="inlineStr">
        <is>
          <t>Marka Bilinirliği (Erişim)</t>
        </is>
      </c>
      <c r="C35" s="34" t="inlineStr">
        <is>
          <t>Doruk Hastaneleri</t>
        </is>
      </c>
      <c r="D35" s="34" t="inlineStr">
        <is>
          <t>Doktor - Bilinirlik Kampanyası - Yıldırım</t>
        </is>
      </c>
      <c r="E35" s="35" t="n">
        <v>17984.92</v>
      </c>
      <c r="F35" s="36">
        <f>E35/SUM($E$4:$E$61)</f>
        <v/>
      </c>
      <c r="G35" s="35">
        <f>(E35/SUM($E$4:$E$61))*'2. Kampanya Kırılımı'!$F$2</f>
        <v/>
      </c>
      <c r="H35" s="35">
        <f>(E35/SUM($E$4:$E$61))*'2. Kampanya Kırılımı'!$F$2+IF($A35="Doktor Sayfaları",(E35/SUMIFS($E$4:$E$61,$A$4:$A$61,"Doktor Sayfaları"))*'2. Kampanya Kırılımı'!$H$2,0)</f>
        <v/>
      </c>
      <c r="I35" s="35">
        <f>(E35/SUM($E$4:$E$61))*'2. Kampanya Kırılımı'!$F$2+IF($A35="Doktor Sayfaları",(E35/SUMIFS($E$4:$E$61,$A$4:$A$61,"Doktor Sayfaları"))*'2. Kampanya Kırılımı'!$J$2,0)</f>
        <v/>
      </c>
      <c r="J35" s="35">
        <f>G35*30</f>
        <v/>
      </c>
      <c r="K35" s="35">
        <f>H35*30</f>
        <v/>
      </c>
      <c r="L35" s="35">
        <f>I35*30</f>
        <v/>
      </c>
    </row>
    <row r="36">
      <c r="A36" s="31" t="inlineStr">
        <is>
          <t>Estetik Marka</t>
        </is>
      </c>
      <c r="B36" s="31" t="inlineStr">
        <is>
          <t>Lead Toplama (Form)</t>
        </is>
      </c>
      <c r="C36" s="31" t="inlineStr">
        <is>
          <t>Doruk Estetik &amp; Saç Ekimi</t>
        </is>
      </c>
      <c r="D36" s="31" t="inlineStr">
        <is>
          <t>ABO / Medikal Estetik lead / 16.04.2026</t>
        </is>
      </c>
      <c r="E36" s="32" t="n">
        <v>60093.26</v>
      </c>
      <c r="F36" s="33">
        <f>E36/SUM($E$4:$E$61)</f>
        <v/>
      </c>
      <c r="G36" s="32">
        <f>(E36/SUM($E$4:$E$61))*'2. Kampanya Kırılımı'!$F$2</f>
        <v/>
      </c>
      <c r="H36" s="32">
        <f>(E36/SUM($E$4:$E$61))*'2. Kampanya Kırılımı'!$F$2+IF($A36="Doktor Sayfaları",(E36/SUMIFS($E$4:$E$61,$A$4:$A$61,"Doktor Sayfaları"))*'2. Kampanya Kırılımı'!$H$2,0)</f>
        <v/>
      </c>
      <c r="I36" s="32">
        <f>(E36/SUM($E$4:$E$61))*'2. Kampanya Kırılımı'!$F$2+IF($A36="Doktor Sayfaları",(E36/SUMIFS($E$4:$E$61,$A$4:$A$61,"Doktor Sayfaları"))*'2. Kampanya Kırılımı'!$J$2,0)</f>
        <v/>
      </c>
      <c r="J36" s="32">
        <f>G36*30</f>
        <v/>
      </c>
      <c r="K36" s="32">
        <f>H36*30</f>
        <v/>
      </c>
      <c r="L36" s="32">
        <f>I36*30</f>
        <v/>
      </c>
    </row>
    <row r="37">
      <c r="A37" s="34" t="inlineStr">
        <is>
          <t>Estetik Marka</t>
        </is>
      </c>
      <c r="B37" s="34" t="inlineStr">
        <is>
          <t>Instagram Öne Çıkarma</t>
        </is>
      </c>
      <c r="C37" s="34" t="inlineStr">
        <is>
          <t>Doruk Estetik &amp; Saç Ekimi</t>
        </is>
      </c>
      <c r="D37" s="34" t="inlineStr">
        <is>
          <t>Instagram gönderisi: Medikal estetik alanındaki...</t>
        </is>
      </c>
      <c r="E37" s="35" t="n">
        <v>11489.83</v>
      </c>
      <c r="F37" s="36">
        <f>E37/SUM($E$4:$E$61)</f>
        <v/>
      </c>
      <c r="G37" s="35">
        <f>(E37/SUM($E$4:$E$61))*'2. Kampanya Kırılımı'!$F$2</f>
        <v/>
      </c>
      <c r="H37" s="35">
        <f>(E37/SUM($E$4:$E$61))*'2. Kampanya Kırılımı'!$F$2+IF($A37="Doktor Sayfaları",(E37/SUMIFS($E$4:$E$61,$A$4:$A$61,"Doktor Sayfaları"))*'2. Kampanya Kırılımı'!$H$2,0)</f>
        <v/>
      </c>
      <c r="I37" s="35">
        <f>(E37/SUM($E$4:$E$61))*'2. Kampanya Kırılımı'!$F$2+IF($A37="Doktor Sayfaları",(E37/SUMIFS($E$4:$E$61,$A$4:$A$61,"Doktor Sayfaları"))*'2. Kampanya Kırılımı'!$J$2,0)</f>
        <v/>
      </c>
      <c r="J37" s="35">
        <f>G37*30</f>
        <v/>
      </c>
      <c r="K37" s="35">
        <f>H37*30</f>
        <v/>
      </c>
      <c r="L37" s="35">
        <f>I37*30</f>
        <v/>
      </c>
    </row>
    <row r="38">
      <c r="A38" s="31" t="inlineStr">
        <is>
          <t>Estetik Marka</t>
        </is>
      </c>
      <c r="B38" s="31" t="inlineStr">
        <is>
          <t>Instagram Öne Çıkarma</t>
        </is>
      </c>
      <c r="C38" s="31" t="inlineStr">
        <is>
          <t>Doruk Estetik &amp; Saç Ekimi</t>
        </is>
      </c>
      <c r="D38" s="31" t="inlineStr">
        <is>
          <t>Instagram gönderisi: Jinekomasti her zaman...</t>
        </is>
      </c>
      <c r="E38" s="32" t="n">
        <v>5769.81</v>
      </c>
      <c r="F38" s="33">
        <f>E38/SUM($E$4:$E$61)</f>
        <v/>
      </c>
      <c r="G38" s="32">
        <f>(E38/SUM($E$4:$E$61))*'2. Kampanya Kırılımı'!$F$2</f>
        <v/>
      </c>
      <c r="H38" s="32">
        <f>(E38/SUM($E$4:$E$61))*'2. Kampanya Kırılımı'!$F$2+IF($A38="Doktor Sayfaları",(E38/SUMIFS($E$4:$E$61,$A$4:$A$61,"Doktor Sayfaları"))*'2. Kampanya Kırılımı'!$H$2,0)</f>
        <v/>
      </c>
      <c r="I38" s="32">
        <f>(E38/SUM($E$4:$E$61))*'2. Kampanya Kırılımı'!$F$2+IF($A38="Doktor Sayfaları",(E38/SUMIFS($E$4:$E$61,$A$4:$A$61,"Doktor Sayfaları"))*'2. Kampanya Kırılımı'!$J$2,0)</f>
        <v/>
      </c>
      <c r="J38" s="32">
        <f>G38*30</f>
        <v/>
      </c>
      <c r="K38" s="32">
        <f>H38*30</f>
        <v/>
      </c>
      <c r="L38" s="32">
        <f>I38*30</f>
        <v/>
      </c>
    </row>
    <row r="39">
      <c r="A39" s="34" t="inlineStr">
        <is>
          <t>Estetik Marka</t>
        </is>
      </c>
      <c r="B39" s="34" t="inlineStr">
        <is>
          <t>Instagram Öne Çıkarma</t>
        </is>
      </c>
      <c r="C39" s="34" t="inlineStr">
        <is>
          <t>Doruk Estetik &amp; Saç Ekimi</t>
        </is>
      </c>
      <c r="D39" s="34" t="inlineStr">
        <is>
          <t>Instagram gönderisi: Yüz bölgesine yapılan...</t>
        </is>
      </c>
      <c r="E39" s="35" t="n">
        <v>5737.22</v>
      </c>
      <c r="F39" s="36">
        <f>E39/SUM($E$4:$E$61)</f>
        <v/>
      </c>
      <c r="G39" s="35">
        <f>(E39/SUM($E$4:$E$61))*'2. Kampanya Kırılımı'!$F$2</f>
        <v/>
      </c>
      <c r="H39" s="35">
        <f>(E39/SUM($E$4:$E$61))*'2. Kampanya Kırılımı'!$F$2+IF($A39="Doktor Sayfaları",(E39/SUMIFS($E$4:$E$61,$A$4:$A$61,"Doktor Sayfaları"))*'2. Kampanya Kırılımı'!$H$2,0)</f>
        <v/>
      </c>
      <c r="I39" s="35">
        <f>(E39/SUM($E$4:$E$61))*'2. Kampanya Kırılımı'!$F$2+IF($A39="Doktor Sayfaları",(E39/SUMIFS($E$4:$E$61,$A$4:$A$61,"Doktor Sayfaları"))*'2. Kampanya Kırılımı'!$J$2,0)</f>
        <v/>
      </c>
      <c r="J39" s="35">
        <f>G39*30</f>
        <v/>
      </c>
      <c r="K39" s="35">
        <f>H39*30</f>
        <v/>
      </c>
      <c r="L39" s="35">
        <f>I39*30</f>
        <v/>
      </c>
    </row>
    <row r="40">
      <c r="A40" s="31" t="inlineStr">
        <is>
          <t>Estetik Marka</t>
        </is>
      </c>
      <c r="B40" s="31" t="inlineStr">
        <is>
          <t>Instagram Öne Çıkarma</t>
        </is>
      </c>
      <c r="C40" s="31" t="inlineStr">
        <is>
          <t>Doruk Estetik &amp; Saç Ekimi</t>
        </is>
      </c>
      <c r="D40" s="31" t="inlineStr">
        <is>
          <t>Instagram gönderisi: Kilo verirken yüzünüzde...</t>
        </is>
      </c>
      <c r="E40" s="32" t="n">
        <v>5712.92</v>
      </c>
      <c r="F40" s="33">
        <f>E40/SUM($E$4:$E$61)</f>
        <v/>
      </c>
      <c r="G40" s="32">
        <f>(E40/SUM($E$4:$E$61))*'2. Kampanya Kırılımı'!$F$2</f>
        <v/>
      </c>
      <c r="H40" s="32">
        <f>(E40/SUM($E$4:$E$61))*'2. Kampanya Kırılımı'!$F$2+IF($A40="Doktor Sayfaları",(E40/SUMIFS($E$4:$E$61,$A$4:$A$61,"Doktor Sayfaları"))*'2. Kampanya Kırılımı'!$H$2,0)</f>
        <v/>
      </c>
      <c r="I40" s="32">
        <f>(E40/SUM($E$4:$E$61))*'2. Kampanya Kırılımı'!$F$2+IF($A40="Doktor Sayfaları",(E40/SUMIFS($E$4:$E$61,$A$4:$A$61,"Doktor Sayfaları"))*'2. Kampanya Kırılımı'!$J$2,0)</f>
        <v/>
      </c>
      <c r="J40" s="32">
        <f>G40*30</f>
        <v/>
      </c>
      <c r="K40" s="32">
        <f>H40*30</f>
        <v/>
      </c>
      <c r="L40" s="32">
        <f>I40*30</f>
        <v/>
      </c>
    </row>
    <row r="41">
      <c r="A41" s="34" t="inlineStr">
        <is>
          <t>Estetik Marka</t>
        </is>
      </c>
      <c r="B41" s="34" t="inlineStr">
        <is>
          <t>Instagram Öne Çıkarma</t>
        </is>
      </c>
      <c r="C41" s="34" t="inlineStr">
        <is>
          <t>Doruk Estetik &amp; Saç Ekimi</t>
        </is>
      </c>
      <c r="D41" s="34" t="inlineStr">
        <is>
          <t>Instagram gönderisi: Kulak görünümünüz nedeniyle...</t>
        </is>
      </c>
      <c r="E41" s="35" t="n">
        <v>5700.98</v>
      </c>
      <c r="F41" s="36">
        <f>E41/SUM($E$4:$E$61)</f>
        <v/>
      </c>
      <c r="G41" s="35">
        <f>(E41/SUM($E$4:$E$61))*'2. Kampanya Kırılımı'!$F$2</f>
        <v/>
      </c>
      <c r="H41" s="35">
        <f>(E41/SUM($E$4:$E$61))*'2. Kampanya Kırılımı'!$F$2+IF($A41="Doktor Sayfaları",(E41/SUMIFS($E$4:$E$61,$A$4:$A$61,"Doktor Sayfaları"))*'2. Kampanya Kırılımı'!$H$2,0)</f>
        <v/>
      </c>
      <c r="I41" s="35">
        <f>(E41/SUM($E$4:$E$61))*'2. Kampanya Kırılımı'!$F$2+IF($A41="Doktor Sayfaları",(E41/SUMIFS($E$4:$E$61,$A$4:$A$61,"Doktor Sayfaları"))*'2. Kampanya Kırılımı'!$J$2,0)</f>
        <v/>
      </c>
      <c r="J41" s="35">
        <f>G41*30</f>
        <v/>
      </c>
      <c r="K41" s="35">
        <f>H41*30</f>
        <v/>
      </c>
      <c r="L41" s="35">
        <f>I41*30</f>
        <v/>
      </c>
    </row>
    <row r="42">
      <c r="A42" s="37" t="inlineStr">
        <is>
          <t>Doktor Sayfaları</t>
        </is>
      </c>
      <c r="B42" s="37" t="inlineStr">
        <is>
          <t>Instagram Öne Çıkarma</t>
        </is>
      </c>
      <c r="C42" s="37" t="inlineStr">
        <is>
          <t>Op. Dr. Emre Çaycı</t>
        </is>
      </c>
      <c r="D42" s="37" t="inlineStr">
        <is>
          <t>Instagram gönderisi: 👨‍⚕️ Jinekomasti Ameliyatı...</t>
        </is>
      </c>
      <c r="E42" s="38" t="n">
        <v>11565.46</v>
      </c>
      <c r="F42" s="39">
        <f>E42/SUM($E$4:$E$61)</f>
        <v/>
      </c>
      <c r="G42" s="38">
        <f>(E42/SUM($E$4:$E$61))*'2. Kampanya Kırılımı'!$F$2</f>
        <v/>
      </c>
      <c r="H42" s="38">
        <f>(E42/SUM($E$4:$E$61))*'2. Kampanya Kırılımı'!$F$2+IF($A42="Doktor Sayfaları",(E42/SUMIFS($E$4:$E$61,$A$4:$A$61,"Doktor Sayfaları"))*'2. Kampanya Kırılımı'!$H$2,0)</f>
        <v/>
      </c>
      <c r="I42" s="38">
        <f>(E42/SUM($E$4:$E$61))*'2. Kampanya Kırılımı'!$F$2+IF($A42="Doktor Sayfaları",(E42/SUMIFS($E$4:$E$61,$A$4:$A$61,"Doktor Sayfaları"))*'2. Kampanya Kırılımı'!$J$2,0)</f>
        <v/>
      </c>
      <c r="J42" s="38">
        <f>G42*30</f>
        <v/>
      </c>
      <c r="K42" s="38">
        <f>H42*30</f>
        <v/>
      </c>
      <c r="L42" s="38">
        <f>I42*30</f>
        <v/>
      </c>
    </row>
    <row r="43">
      <c r="A43" s="37" t="inlineStr">
        <is>
          <t>Doktor Sayfaları</t>
        </is>
      </c>
      <c r="B43" s="37" t="inlineStr">
        <is>
          <t>Instagram Öne Çıkarma</t>
        </is>
      </c>
      <c r="C43" s="37" t="inlineStr">
        <is>
          <t>Op.Dr. Eren Kaya</t>
        </is>
      </c>
      <c r="D43" s="37" t="inlineStr">
        <is>
          <t>Instagram gönderisi: ✅Gebelikte uyku pozisyonu...</t>
        </is>
      </c>
      <c r="E43" s="38" t="n">
        <v>7067.94</v>
      </c>
      <c r="F43" s="39">
        <f>E43/SUM($E$4:$E$61)</f>
        <v/>
      </c>
      <c r="G43" s="38">
        <f>(E43/SUM($E$4:$E$61))*'2. Kampanya Kırılımı'!$F$2</f>
        <v/>
      </c>
      <c r="H43" s="38">
        <f>(E43/SUM($E$4:$E$61))*'2. Kampanya Kırılımı'!$F$2+IF($A43="Doktor Sayfaları",(E43/SUMIFS($E$4:$E$61,$A$4:$A$61,"Doktor Sayfaları"))*'2. Kampanya Kırılımı'!$H$2,0)</f>
        <v/>
      </c>
      <c r="I43" s="38">
        <f>(E43/SUM($E$4:$E$61))*'2. Kampanya Kırılımı'!$F$2+IF($A43="Doktor Sayfaları",(E43/SUMIFS($E$4:$E$61,$A$4:$A$61,"Doktor Sayfaları"))*'2. Kampanya Kırılımı'!$J$2,0)</f>
        <v/>
      </c>
      <c r="J43" s="38">
        <f>G43*30</f>
        <v/>
      </c>
      <c r="K43" s="38">
        <f>H43*30</f>
        <v/>
      </c>
      <c r="L43" s="38">
        <f>I43*30</f>
        <v/>
      </c>
    </row>
    <row r="44">
      <c r="A44" s="37" t="inlineStr">
        <is>
          <t>Doktor Sayfaları</t>
        </is>
      </c>
      <c r="B44" s="37" t="inlineStr">
        <is>
          <t>Instagram Öne Çıkarma</t>
        </is>
      </c>
      <c r="C44" s="37" t="inlineStr">
        <is>
          <t>Doç.Dr. Selin Aktürk Esen</t>
        </is>
      </c>
      <c r="D44" s="37" t="inlineStr">
        <is>
          <t>Instagram gönderisi: 🧬 Kanser Hastalarında Test...</t>
        </is>
      </c>
      <c r="E44" s="38" t="n">
        <v>6696.46</v>
      </c>
      <c r="F44" s="39">
        <f>E44/SUM($E$4:$E$61)</f>
        <v/>
      </c>
      <c r="G44" s="38">
        <f>(E44/SUM($E$4:$E$61))*'2. Kampanya Kırılımı'!$F$2</f>
        <v/>
      </c>
      <c r="H44" s="38">
        <f>(E44/SUM($E$4:$E$61))*'2. Kampanya Kırılımı'!$F$2+IF($A44="Doktor Sayfaları",(E44/SUMIFS($E$4:$E$61,$A$4:$A$61,"Doktor Sayfaları"))*'2. Kampanya Kırılımı'!$H$2,0)</f>
        <v/>
      </c>
      <c r="I44" s="38">
        <f>(E44/SUM($E$4:$E$61))*'2. Kampanya Kırılımı'!$F$2+IF($A44="Doktor Sayfaları",(E44/SUMIFS($E$4:$E$61,$A$4:$A$61,"Doktor Sayfaları"))*'2. Kampanya Kırılımı'!$J$2,0)</f>
        <v/>
      </c>
      <c r="J44" s="38">
        <f>G44*30</f>
        <v/>
      </c>
      <c r="K44" s="38">
        <f>H44*30</f>
        <v/>
      </c>
      <c r="L44" s="38">
        <f>I44*30</f>
        <v/>
      </c>
    </row>
    <row r="45">
      <c r="A45" s="37" t="inlineStr">
        <is>
          <t>Doktor Sayfaları</t>
        </is>
      </c>
      <c r="B45" s="37" t="inlineStr">
        <is>
          <t>Instagram Öne Çıkarma</t>
        </is>
      </c>
      <c r="C45" s="37" t="inlineStr">
        <is>
          <t>Op.Dr. Abdullah ERTAŞ</t>
        </is>
      </c>
      <c r="D45" s="37" t="inlineStr">
        <is>
          <t>Instagram gönderisi: 🦴 Kuyruk Sokumu Ağrısı Neden...</t>
        </is>
      </c>
      <c r="E45" s="38" t="n">
        <v>6693.05</v>
      </c>
      <c r="F45" s="39">
        <f>E45/SUM($E$4:$E$61)</f>
        <v/>
      </c>
      <c r="G45" s="38">
        <f>(E45/SUM($E$4:$E$61))*'2. Kampanya Kırılımı'!$F$2</f>
        <v/>
      </c>
      <c r="H45" s="38">
        <f>(E45/SUM($E$4:$E$61))*'2. Kampanya Kırılımı'!$F$2+IF($A45="Doktor Sayfaları",(E45/SUMIFS($E$4:$E$61,$A$4:$A$61,"Doktor Sayfaları"))*'2. Kampanya Kırılımı'!$H$2,0)</f>
        <v/>
      </c>
      <c r="I45" s="38">
        <f>(E45/SUM($E$4:$E$61))*'2. Kampanya Kırılımı'!$F$2+IF($A45="Doktor Sayfaları",(E45/SUMIFS($E$4:$E$61,$A$4:$A$61,"Doktor Sayfaları"))*'2. Kampanya Kırılımı'!$J$2,0)</f>
        <v/>
      </c>
      <c r="J45" s="38">
        <f>G45*30</f>
        <v/>
      </c>
      <c r="K45" s="38">
        <f>H45*30</f>
        <v/>
      </c>
      <c r="L45" s="38">
        <f>I45*30</f>
        <v/>
      </c>
    </row>
    <row r="46">
      <c r="A46" s="37" t="inlineStr">
        <is>
          <t>Doktor Sayfaları</t>
        </is>
      </c>
      <c r="B46" s="37" t="inlineStr">
        <is>
          <t>Instagram Öne Çıkarma</t>
        </is>
      </c>
      <c r="C46" s="37" t="inlineStr">
        <is>
          <t>Op.Dr. Abdullah ERTAŞ</t>
        </is>
      </c>
      <c r="D46" s="37" t="inlineStr">
        <is>
          <t>Instagram gönderisi: 🧠 MR Raporunda Her Yazan...</t>
        </is>
      </c>
      <c r="E46" s="38" t="n">
        <v>6681.81</v>
      </c>
      <c r="F46" s="39">
        <f>E46/SUM($E$4:$E$61)</f>
        <v/>
      </c>
      <c r="G46" s="38">
        <f>(E46/SUM($E$4:$E$61))*'2. Kampanya Kırılımı'!$F$2</f>
        <v/>
      </c>
      <c r="H46" s="38">
        <f>(E46/SUM($E$4:$E$61))*'2. Kampanya Kırılımı'!$F$2+IF($A46="Doktor Sayfaları",(E46/SUMIFS($E$4:$E$61,$A$4:$A$61,"Doktor Sayfaları"))*'2. Kampanya Kırılımı'!$H$2,0)</f>
        <v/>
      </c>
      <c r="I46" s="38">
        <f>(E46/SUM($E$4:$E$61))*'2. Kampanya Kırılımı'!$F$2+IF($A46="Doktor Sayfaları",(E46/SUMIFS($E$4:$E$61,$A$4:$A$61,"Doktor Sayfaları"))*'2. Kampanya Kırılımı'!$J$2,0)</f>
        <v/>
      </c>
      <c r="J46" s="38">
        <f>G46*30</f>
        <v/>
      </c>
      <c r="K46" s="38">
        <f>H46*30</f>
        <v/>
      </c>
      <c r="L46" s="38">
        <f>I46*30</f>
        <v/>
      </c>
    </row>
    <row r="47">
      <c r="A47" s="37" t="inlineStr">
        <is>
          <t>Doktor Sayfaları</t>
        </is>
      </c>
      <c r="B47" s="37" t="inlineStr">
        <is>
          <t>Instagram Öne Çıkarma</t>
        </is>
      </c>
      <c r="C47" s="37" t="inlineStr">
        <is>
          <t>Op.Dr. Eren Kaya</t>
        </is>
      </c>
      <c r="D47" s="37" t="inlineStr">
        <is>
          <t>Instagram gönderisi: “Rahim alınacaksa...</t>
        </is>
      </c>
      <c r="E47" s="38" t="n">
        <v>3021.6</v>
      </c>
      <c r="F47" s="39">
        <f>E47/SUM($E$4:$E$61)</f>
        <v/>
      </c>
      <c r="G47" s="38">
        <f>(E47/SUM($E$4:$E$61))*'2. Kampanya Kırılımı'!$F$2</f>
        <v/>
      </c>
      <c r="H47" s="38">
        <f>(E47/SUM($E$4:$E$61))*'2. Kampanya Kırılımı'!$F$2+IF($A47="Doktor Sayfaları",(E47/SUMIFS($E$4:$E$61,$A$4:$A$61,"Doktor Sayfaları"))*'2. Kampanya Kırılımı'!$H$2,0)</f>
        <v/>
      </c>
      <c r="I47" s="38">
        <f>(E47/SUM($E$4:$E$61))*'2. Kampanya Kırılımı'!$F$2+IF($A47="Doktor Sayfaları",(E47/SUMIFS($E$4:$E$61,$A$4:$A$61,"Doktor Sayfaları"))*'2. Kampanya Kırılımı'!$J$2,0)</f>
        <v/>
      </c>
      <c r="J47" s="38">
        <f>G47*30</f>
        <v/>
      </c>
      <c r="K47" s="38">
        <f>H47*30</f>
        <v/>
      </c>
      <c r="L47" s="38">
        <f>I47*30</f>
        <v/>
      </c>
    </row>
    <row r="48">
      <c r="A48" s="37" t="inlineStr">
        <is>
          <t>Doktor Sayfaları</t>
        </is>
      </c>
      <c r="B48" s="37" t="inlineStr">
        <is>
          <t>Instagram Öne Çıkarma</t>
        </is>
      </c>
      <c r="C48" s="37" t="inlineStr">
        <is>
          <t>Op.Dr. Abdullah ERTAŞ</t>
        </is>
      </c>
      <c r="D48" s="37" t="inlineStr">
        <is>
          <t>Instagram gönderisi: 🦴 Omurga Kanal Darlığı...</t>
        </is>
      </c>
      <c r="E48" s="38" t="n">
        <v>2997.67</v>
      </c>
      <c r="F48" s="39">
        <f>E48/SUM($E$4:$E$61)</f>
        <v/>
      </c>
      <c r="G48" s="38">
        <f>(E48/SUM($E$4:$E$61))*'2. Kampanya Kırılımı'!$F$2</f>
        <v/>
      </c>
      <c r="H48" s="38">
        <f>(E48/SUM($E$4:$E$61))*'2. Kampanya Kırılımı'!$F$2+IF($A48="Doktor Sayfaları",(E48/SUMIFS($E$4:$E$61,$A$4:$A$61,"Doktor Sayfaları"))*'2. Kampanya Kırılımı'!$H$2,0)</f>
        <v/>
      </c>
      <c r="I48" s="38">
        <f>(E48/SUM($E$4:$E$61))*'2. Kampanya Kırılımı'!$F$2+IF($A48="Doktor Sayfaları",(E48/SUMIFS($E$4:$E$61,$A$4:$A$61,"Doktor Sayfaları"))*'2. Kampanya Kırılımı'!$J$2,0)</f>
        <v/>
      </c>
      <c r="J48" s="38">
        <f>G48*30</f>
        <v/>
      </c>
      <c r="K48" s="38">
        <f>H48*30</f>
        <v/>
      </c>
      <c r="L48" s="38">
        <f>I48*30</f>
        <v/>
      </c>
    </row>
    <row r="49">
      <c r="A49" s="37" t="inlineStr">
        <is>
          <t>Doktor Sayfaları</t>
        </is>
      </c>
      <c r="B49" s="37" t="inlineStr">
        <is>
          <t>Instagram Öne Çıkarma</t>
        </is>
      </c>
      <c r="C49" s="37" t="inlineStr">
        <is>
          <t>Op. Dr. Emre Çaycı</t>
        </is>
      </c>
      <c r="D49" s="37" t="inlineStr">
        <is>
          <t>Instagram gönderisi: 💪 Yağlanma mı, Jinekomasti...</t>
        </is>
      </c>
      <c r="E49" s="38" t="n">
        <v>2992.96</v>
      </c>
      <c r="F49" s="39">
        <f>E49/SUM($E$4:$E$61)</f>
        <v/>
      </c>
      <c r="G49" s="38">
        <f>(E49/SUM($E$4:$E$61))*'2. Kampanya Kırılımı'!$F$2</f>
        <v/>
      </c>
      <c r="H49" s="38">
        <f>(E49/SUM($E$4:$E$61))*'2. Kampanya Kırılımı'!$F$2+IF($A49="Doktor Sayfaları",(E49/SUMIFS($E$4:$E$61,$A$4:$A$61,"Doktor Sayfaları"))*'2. Kampanya Kırılımı'!$H$2,0)</f>
        <v/>
      </c>
      <c r="I49" s="38">
        <f>(E49/SUM($E$4:$E$61))*'2. Kampanya Kırılımı'!$F$2+IF($A49="Doktor Sayfaları",(E49/SUMIFS($E$4:$E$61,$A$4:$A$61,"Doktor Sayfaları"))*'2. Kampanya Kırılımı'!$J$2,0)</f>
        <v/>
      </c>
      <c r="J49" s="38">
        <f>G49*30</f>
        <v/>
      </c>
      <c r="K49" s="38">
        <f>H49*30</f>
        <v/>
      </c>
      <c r="L49" s="38">
        <f>I49*30</f>
        <v/>
      </c>
    </row>
    <row r="50">
      <c r="A50" s="37" t="inlineStr">
        <is>
          <t>Doktor Sayfaları</t>
        </is>
      </c>
      <c r="B50" s="37" t="inlineStr">
        <is>
          <t>Instagram Öne Çıkarma</t>
        </is>
      </c>
      <c r="C50" s="37" t="inlineStr">
        <is>
          <t>Op. Dr. Emre Çaycı</t>
        </is>
      </c>
      <c r="D50" s="37" t="inlineStr">
        <is>
          <t>Instagram gönderisi: 💪 Jinekomastide Spor Yeterli...</t>
        </is>
      </c>
      <c r="E50" s="38" t="n">
        <v>2967.83</v>
      </c>
      <c r="F50" s="39">
        <f>E50/SUM($E$4:$E$61)</f>
        <v/>
      </c>
      <c r="G50" s="38">
        <f>(E50/SUM($E$4:$E$61))*'2. Kampanya Kırılımı'!$F$2</f>
        <v/>
      </c>
      <c r="H50" s="38">
        <f>(E50/SUM($E$4:$E$61))*'2. Kampanya Kırılımı'!$F$2+IF($A50="Doktor Sayfaları",(E50/SUMIFS($E$4:$E$61,$A$4:$A$61,"Doktor Sayfaları"))*'2. Kampanya Kırılımı'!$H$2,0)</f>
        <v/>
      </c>
      <c r="I50" s="38">
        <f>(E50/SUM($E$4:$E$61))*'2. Kampanya Kırılımı'!$F$2+IF($A50="Doktor Sayfaları",(E50/SUMIFS($E$4:$E$61,$A$4:$A$61,"Doktor Sayfaları"))*'2. Kampanya Kırılımı'!$J$2,0)</f>
        <v/>
      </c>
      <c r="J50" s="38">
        <f>G50*30</f>
        <v/>
      </c>
      <c r="K50" s="38">
        <f>H50*30</f>
        <v/>
      </c>
      <c r="L50" s="38">
        <f>I50*30</f>
        <v/>
      </c>
    </row>
    <row r="51">
      <c r="A51" s="37" t="inlineStr">
        <is>
          <t>Doktor Sayfaları</t>
        </is>
      </c>
      <c r="B51" s="37" t="inlineStr">
        <is>
          <t>Instagram Öne Çıkarma</t>
        </is>
      </c>
      <c r="C51" s="37" t="inlineStr">
        <is>
          <t>Op.Dr. Abdullah ERTAŞ</t>
        </is>
      </c>
      <c r="D51" s="37" t="inlineStr">
        <is>
          <t>Instagram gönderisi: 🧠 Baş Ağrısı İlk Belirti...</t>
        </is>
      </c>
      <c r="E51" s="38" t="n">
        <v>2914.01</v>
      </c>
      <c r="F51" s="39">
        <f>E51/SUM($E$4:$E$61)</f>
        <v/>
      </c>
      <c r="G51" s="38">
        <f>(E51/SUM($E$4:$E$61))*'2. Kampanya Kırılımı'!$F$2</f>
        <v/>
      </c>
      <c r="H51" s="38">
        <f>(E51/SUM($E$4:$E$61))*'2. Kampanya Kırılımı'!$F$2+IF($A51="Doktor Sayfaları",(E51/SUMIFS($E$4:$E$61,$A$4:$A$61,"Doktor Sayfaları"))*'2. Kampanya Kırılımı'!$H$2,0)</f>
        <v/>
      </c>
      <c r="I51" s="38">
        <f>(E51/SUM($E$4:$E$61))*'2. Kampanya Kırılımı'!$F$2+IF($A51="Doktor Sayfaları",(E51/SUMIFS($E$4:$E$61,$A$4:$A$61,"Doktor Sayfaları"))*'2. Kampanya Kırılımı'!$J$2,0)</f>
        <v/>
      </c>
      <c r="J51" s="38">
        <f>G51*30</f>
        <v/>
      </c>
      <c r="K51" s="38">
        <f>H51*30</f>
        <v/>
      </c>
      <c r="L51" s="38">
        <f>I51*30</f>
        <v/>
      </c>
    </row>
    <row r="52">
      <c r="A52" s="37" t="inlineStr">
        <is>
          <t>Doktor Sayfaları</t>
        </is>
      </c>
      <c r="B52" s="37" t="inlineStr">
        <is>
          <t>Instagram Öne Çıkarma</t>
        </is>
      </c>
      <c r="C52" s="37" t="inlineStr">
        <is>
          <t>Op.Dr. Eren Kaya</t>
        </is>
      </c>
      <c r="D52" s="37" t="inlineStr">
        <is>
          <t>Instagram gönderisi: “Erken gebelikte kanama...</t>
        </is>
      </c>
      <c r="E52" s="38" t="n">
        <v>2892.46</v>
      </c>
      <c r="F52" s="39">
        <f>E52/SUM($E$4:$E$61)</f>
        <v/>
      </c>
      <c r="G52" s="38">
        <f>(E52/SUM($E$4:$E$61))*'2. Kampanya Kırılımı'!$F$2</f>
        <v/>
      </c>
      <c r="H52" s="38">
        <f>(E52/SUM($E$4:$E$61))*'2. Kampanya Kırılımı'!$F$2+IF($A52="Doktor Sayfaları",(E52/SUMIFS($E$4:$E$61,$A$4:$A$61,"Doktor Sayfaları"))*'2. Kampanya Kırılımı'!$H$2,0)</f>
        <v/>
      </c>
      <c r="I52" s="38">
        <f>(E52/SUM($E$4:$E$61))*'2. Kampanya Kırılımı'!$F$2+IF($A52="Doktor Sayfaları",(E52/SUMIFS($E$4:$E$61,$A$4:$A$61,"Doktor Sayfaları"))*'2. Kampanya Kırılımı'!$J$2,0)</f>
        <v/>
      </c>
      <c r="J52" s="38">
        <f>G52*30</f>
        <v/>
      </c>
      <c r="K52" s="38">
        <f>H52*30</f>
        <v/>
      </c>
      <c r="L52" s="38">
        <f>I52*30</f>
        <v/>
      </c>
    </row>
    <row r="53">
      <c r="A53" s="37" t="inlineStr">
        <is>
          <t>Doktor Sayfaları</t>
        </is>
      </c>
      <c r="B53" s="37" t="inlineStr">
        <is>
          <t>Instagram Öne Çıkarma</t>
        </is>
      </c>
      <c r="C53" s="37" t="inlineStr">
        <is>
          <t>Doç.Dr. Selin Aktürk Esen</t>
        </is>
      </c>
      <c r="D53" s="37" t="inlineStr">
        <is>
          <t>Instagram gönderisi: 🌡️ Kemoterapi Alan...</t>
        </is>
      </c>
      <c r="E53" s="38" t="n">
        <v>2871.08</v>
      </c>
      <c r="F53" s="39">
        <f>E53/SUM($E$4:$E$61)</f>
        <v/>
      </c>
      <c r="G53" s="38">
        <f>(E53/SUM($E$4:$E$61))*'2. Kampanya Kırılımı'!$F$2</f>
        <v/>
      </c>
      <c r="H53" s="38">
        <f>(E53/SUM($E$4:$E$61))*'2. Kampanya Kırılımı'!$F$2+IF($A53="Doktor Sayfaları",(E53/SUMIFS($E$4:$E$61,$A$4:$A$61,"Doktor Sayfaları"))*'2. Kampanya Kırılımı'!$H$2,0)</f>
        <v/>
      </c>
      <c r="I53" s="38">
        <f>(E53/SUM($E$4:$E$61))*'2. Kampanya Kırılımı'!$F$2+IF($A53="Doktor Sayfaları",(E53/SUMIFS($E$4:$E$61,$A$4:$A$61,"Doktor Sayfaları"))*'2. Kampanya Kırılımı'!$J$2,0)</f>
        <v/>
      </c>
      <c r="J53" s="38">
        <f>G53*30</f>
        <v/>
      </c>
      <c r="K53" s="38">
        <f>H53*30</f>
        <v/>
      </c>
      <c r="L53" s="38">
        <f>I53*30</f>
        <v/>
      </c>
    </row>
    <row r="54">
      <c r="A54" s="37" t="inlineStr">
        <is>
          <t>Doktor Sayfaları</t>
        </is>
      </c>
      <c r="B54" s="37" t="inlineStr">
        <is>
          <t>Instagram Öne Çıkarma</t>
        </is>
      </c>
      <c r="C54" s="37" t="inlineStr">
        <is>
          <t>Op. Dr. Emre Çaycı</t>
        </is>
      </c>
      <c r="D54" s="37" t="inlineStr">
        <is>
          <t>Gönderi: "👃 Rinoplasti Ameliyatı Nedir? Yumuşak Doku Neden..."</t>
        </is>
      </c>
      <c r="E54" s="38" t="n">
        <v>468.78</v>
      </c>
      <c r="F54" s="39">
        <f>E54/SUM($E$4:$E$61)</f>
        <v/>
      </c>
      <c r="G54" s="38">
        <f>(E54/SUM($E$4:$E$61))*'2. Kampanya Kırılımı'!$F$2</f>
        <v/>
      </c>
      <c r="H54" s="38">
        <f>(E54/SUM($E$4:$E$61))*'2. Kampanya Kırılımı'!$F$2+IF($A54="Doktor Sayfaları",(E54/SUMIFS($E$4:$E$61,$A$4:$A$61,"Doktor Sayfaları"))*'2. Kampanya Kırılımı'!$H$2,0)</f>
        <v/>
      </c>
      <c r="I54" s="38">
        <f>(E54/SUM($E$4:$E$61))*'2. Kampanya Kırılımı'!$F$2+IF($A54="Doktor Sayfaları",(E54/SUMIFS($E$4:$E$61,$A$4:$A$61,"Doktor Sayfaları"))*'2. Kampanya Kırılımı'!$J$2,0)</f>
        <v/>
      </c>
      <c r="J54" s="38">
        <f>G54*30</f>
        <v/>
      </c>
      <c r="K54" s="38">
        <f>H54*30</f>
        <v/>
      </c>
      <c r="L54" s="38">
        <f>I54*30</f>
        <v/>
      </c>
    </row>
    <row r="55">
      <c r="A55" s="37" t="inlineStr">
        <is>
          <t>Doktor Sayfaları</t>
        </is>
      </c>
      <c r="B55" s="37" t="inlineStr">
        <is>
          <t>Instagram Öne Çıkarma</t>
        </is>
      </c>
      <c r="C55" s="37" t="inlineStr">
        <is>
          <t>Op. Dr. Emre Çaycı</t>
        </is>
      </c>
      <c r="D55" s="37" t="inlineStr">
        <is>
          <t>Instagram gönderisi: 👃 Rinoplasti Ameliyatı...</t>
        </is>
      </c>
      <c r="E55" s="38" t="n">
        <v>426.68</v>
      </c>
      <c r="F55" s="39">
        <f>E55/SUM($E$4:$E$61)</f>
        <v/>
      </c>
      <c r="G55" s="38">
        <f>(E55/SUM($E$4:$E$61))*'2. Kampanya Kırılımı'!$F$2</f>
        <v/>
      </c>
      <c r="H55" s="38">
        <f>(E55/SUM($E$4:$E$61))*'2. Kampanya Kırılımı'!$F$2+IF($A55="Doktor Sayfaları",(E55/SUMIFS($E$4:$E$61,$A$4:$A$61,"Doktor Sayfaları"))*'2. Kampanya Kırılımı'!$H$2,0)</f>
        <v/>
      </c>
      <c r="I55" s="38">
        <f>(E55/SUM($E$4:$E$61))*'2. Kampanya Kırılımı'!$F$2+IF($A55="Doktor Sayfaları",(E55/SUMIFS($E$4:$E$61,$A$4:$A$61,"Doktor Sayfaları"))*'2. Kampanya Kırılımı'!$J$2,0)</f>
        <v/>
      </c>
      <c r="J55" s="38">
        <f>G55*30</f>
        <v/>
      </c>
      <c r="K55" s="38">
        <f>H55*30</f>
        <v/>
      </c>
      <c r="L55" s="38">
        <f>I55*30</f>
        <v/>
      </c>
    </row>
    <row r="56">
      <c r="A56" s="37" t="inlineStr">
        <is>
          <t>Doktor Sayfaları</t>
        </is>
      </c>
      <c r="B56" s="37" t="inlineStr">
        <is>
          <t>Instagram Öne Çıkarma</t>
        </is>
      </c>
      <c r="C56" s="37" t="inlineStr">
        <is>
          <t>Op.Dr. Eren Kaya</t>
        </is>
      </c>
      <c r="D56" s="37" t="inlineStr">
        <is>
          <t>Instagram gönderisi: •Gebelikte Tarama Testleri |...</t>
        </is>
      </c>
      <c r="E56" s="38" t="n">
        <v>411.17</v>
      </c>
      <c r="F56" s="39">
        <f>E56/SUM($E$4:$E$61)</f>
        <v/>
      </c>
      <c r="G56" s="38">
        <f>(E56/SUM($E$4:$E$61))*'2. Kampanya Kırılımı'!$F$2</f>
        <v/>
      </c>
      <c r="H56" s="38">
        <f>(E56/SUM($E$4:$E$61))*'2. Kampanya Kırılımı'!$F$2+IF($A56="Doktor Sayfaları",(E56/SUMIFS($E$4:$E$61,$A$4:$A$61,"Doktor Sayfaları"))*'2. Kampanya Kırılımı'!$H$2,0)</f>
        <v/>
      </c>
      <c r="I56" s="38">
        <f>(E56/SUM($E$4:$E$61))*'2. Kampanya Kırılımı'!$F$2+IF($A56="Doktor Sayfaları",(E56/SUMIFS($E$4:$E$61,$A$4:$A$61,"Doktor Sayfaları"))*'2. Kampanya Kırılımı'!$J$2,0)</f>
        <v/>
      </c>
      <c r="J56" s="38">
        <f>G56*30</f>
        <v/>
      </c>
      <c r="K56" s="38">
        <f>H56*30</f>
        <v/>
      </c>
      <c r="L56" s="38">
        <f>I56*30</f>
        <v/>
      </c>
    </row>
    <row r="57">
      <c r="A57" s="37" t="inlineStr">
        <is>
          <t>Doktor Sayfaları</t>
        </is>
      </c>
      <c r="B57" s="37" t="inlineStr">
        <is>
          <t>Instagram Öne Çıkarma</t>
        </is>
      </c>
      <c r="C57" s="37" t="inlineStr">
        <is>
          <t>Doç.Dr. Selin Aktürk Esen</t>
        </is>
      </c>
      <c r="D57" s="37" t="inlineStr">
        <is>
          <t>Instagram gönderisi: 🎗️ Kemoterapi Alan Her...</t>
        </is>
      </c>
      <c r="E57" s="38" t="n">
        <v>407.16</v>
      </c>
      <c r="F57" s="39">
        <f>E57/SUM($E$4:$E$61)</f>
        <v/>
      </c>
      <c r="G57" s="38">
        <f>(E57/SUM($E$4:$E$61))*'2. Kampanya Kırılımı'!$F$2</f>
        <v/>
      </c>
      <c r="H57" s="38">
        <f>(E57/SUM($E$4:$E$61))*'2. Kampanya Kırılımı'!$F$2+IF($A57="Doktor Sayfaları",(E57/SUMIFS($E$4:$E$61,$A$4:$A$61,"Doktor Sayfaları"))*'2. Kampanya Kırılımı'!$H$2,0)</f>
        <v/>
      </c>
      <c r="I57" s="38">
        <f>(E57/SUM($E$4:$E$61))*'2. Kampanya Kırılımı'!$F$2+IF($A57="Doktor Sayfaları",(E57/SUMIFS($E$4:$E$61,$A$4:$A$61,"Doktor Sayfaları"))*'2. Kampanya Kırılımı'!$J$2,0)</f>
        <v/>
      </c>
      <c r="J57" s="38">
        <f>G57*30</f>
        <v/>
      </c>
      <c r="K57" s="38">
        <f>H57*30</f>
        <v/>
      </c>
      <c r="L57" s="38">
        <f>I57*30</f>
        <v/>
      </c>
    </row>
    <row r="58">
      <c r="A58" s="37" t="inlineStr">
        <is>
          <t>Doktor Sayfaları</t>
        </is>
      </c>
      <c r="B58" s="37" t="inlineStr">
        <is>
          <t>Instagram Öne Çıkarma</t>
        </is>
      </c>
      <c r="C58" s="37" t="inlineStr">
        <is>
          <t>Op. Dr. Emre Çaycı</t>
        </is>
      </c>
      <c r="D58" s="37" t="inlineStr">
        <is>
          <t>Instagram gönderisi: 🖐️ Parmak Ucu Defekti Nasıl...</t>
        </is>
      </c>
      <c r="E58" s="38" t="n">
        <v>359.45</v>
      </c>
      <c r="F58" s="39">
        <f>E58/SUM($E$4:$E$61)</f>
        <v/>
      </c>
      <c r="G58" s="38">
        <f>(E58/SUM($E$4:$E$61))*'2. Kampanya Kırılımı'!$F$2</f>
        <v/>
      </c>
      <c r="H58" s="38">
        <f>(E58/SUM($E$4:$E$61))*'2. Kampanya Kırılımı'!$F$2+IF($A58="Doktor Sayfaları",(E58/SUMIFS($E$4:$E$61,$A$4:$A$61,"Doktor Sayfaları"))*'2. Kampanya Kırılımı'!$H$2,0)</f>
        <v/>
      </c>
      <c r="I58" s="38">
        <f>(E58/SUM($E$4:$E$61))*'2. Kampanya Kırılımı'!$F$2+IF($A58="Doktor Sayfaları",(E58/SUMIFS($E$4:$E$61,$A$4:$A$61,"Doktor Sayfaları"))*'2. Kampanya Kırılımı'!$J$2,0)</f>
        <v/>
      </c>
      <c r="J58" s="38">
        <f>G58*30</f>
        <v/>
      </c>
      <c r="K58" s="38">
        <f>H58*30</f>
        <v/>
      </c>
      <c r="L58" s="38">
        <f>I58*30</f>
        <v/>
      </c>
    </row>
    <row r="59">
      <c r="A59" s="37" t="inlineStr">
        <is>
          <t>Doktor Sayfaları</t>
        </is>
      </c>
      <c r="B59" s="37" t="inlineStr">
        <is>
          <t>Instagram Öne Çıkarma</t>
        </is>
      </c>
      <c r="C59" s="37" t="inlineStr">
        <is>
          <t>Op.Dr. Abdullah ERTAŞ</t>
        </is>
      </c>
      <c r="D59" s="37" t="inlineStr">
        <is>
          <t>Instagram gönderisi: 🦴 Bel Fıtığında Doğru Zaman...</t>
        </is>
      </c>
      <c r="E59" s="38" t="n">
        <v>350.58</v>
      </c>
      <c r="F59" s="39">
        <f>E59/SUM($E$4:$E$61)</f>
        <v/>
      </c>
      <c r="G59" s="38">
        <f>(E59/SUM($E$4:$E$61))*'2. Kampanya Kırılımı'!$F$2</f>
        <v/>
      </c>
      <c r="H59" s="38">
        <f>(E59/SUM($E$4:$E$61))*'2. Kampanya Kırılımı'!$F$2+IF($A59="Doktor Sayfaları",(E59/SUMIFS($E$4:$E$61,$A$4:$A$61,"Doktor Sayfaları"))*'2. Kampanya Kırılımı'!$H$2,0)</f>
        <v/>
      </c>
      <c r="I59" s="38">
        <f>(E59/SUM($E$4:$E$61))*'2. Kampanya Kırılımı'!$F$2+IF($A59="Doktor Sayfaları",(E59/SUMIFS($E$4:$E$61,$A$4:$A$61,"Doktor Sayfaları"))*'2. Kampanya Kırılımı'!$J$2,0)</f>
        <v/>
      </c>
      <c r="J59" s="38">
        <f>G59*30</f>
        <v/>
      </c>
      <c r="K59" s="38">
        <f>H59*30</f>
        <v/>
      </c>
      <c r="L59" s="38">
        <f>I59*30</f>
        <v/>
      </c>
    </row>
    <row r="60">
      <c r="A60" s="37" t="inlineStr">
        <is>
          <t>Doktor Sayfaları</t>
        </is>
      </c>
      <c r="B60" s="37" t="inlineStr">
        <is>
          <t>Instagram Öne Çıkarma</t>
        </is>
      </c>
      <c r="C60" s="37" t="inlineStr">
        <is>
          <t>Doç.Dr. Selin Aktürk Esen</t>
        </is>
      </c>
      <c r="D60" s="37" t="inlineStr">
        <is>
          <t>Instagram gönderisi: 🎗️ Kanser Tanısı Fizik...</t>
        </is>
      </c>
      <c r="E60" s="38" t="n">
        <v>339.41</v>
      </c>
      <c r="F60" s="39">
        <f>E60/SUM($E$4:$E$61)</f>
        <v/>
      </c>
      <c r="G60" s="38">
        <f>(E60/SUM($E$4:$E$61))*'2. Kampanya Kırılımı'!$F$2</f>
        <v/>
      </c>
      <c r="H60" s="38">
        <f>(E60/SUM($E$4:$E$61))*'2. Kampanya Kırılımı'!$F$2+IF($A60="Doktor Sayfaları",(E60/SUMIFS($E$4:$E$61,$A$4:$A$61,"Doktor Sayfaları"))*'2. Kampanya Kırılımı'!$H$2,0)</f>
        <v/>
      </c>
      <c r="I60" s="38">
        <f>(E60/SUM($E$4:$E$61))*'2. Kampanya Kırılımı'!$F$2+IF($A60="Doktor Sayfaları",(E60/SUMIFS($E$4:$E$61,$A$4:$A$61,"Doktor Sayfaları"))*'2. Kampanya Kırılımı'!$J$2,0)</f>
        <v/>
      </c>
      <c r="J60" s="38">
        <f>G60*30</f>
        <v/>
      </c>
      <c r="K60" s="38">
        <f>H60*30</f>
        <v/>
      </c>
      <c r="L60" s="38">
        <f>I60*30</f>
        <v/>
      </c>
    </row>
    <row r="61">
      <c r="A61" s="37" t="inlineStr">
        <is>
          <t>Doktor Sayfaları</t>
        </is>
      </c>
      <c r="B61" s="37" t="inlineStr">
        <is>
          <t>Instagram Öne Çıkarma</t>
        </is>
      </c>
      <c r="C61" s="37" t="inlineStr">
        <is>
          <t>Op.Dr. Abdullah ERTAŞ</t>
        </is>
      </c>
      <c r="D61" s="37" t="inlineStr">
        <is>
          <t>Instagram gönderisi: 🦴 Omurga Kırıklarında Asıl...</t>
        </is>
      </c>
      <c r="E61" s="38" t="n">
        <v>336.23</v>
      </c>
      <c r="F61" s="39">
        <f>E61/SUM($E$4:$E$61)</f>
        <v/>
      </c>
      <c r="G61" s="38">
        <f>(E61/SUM($E$4:$E$61))*'2. Kampanya Kırılımı'!$F$2</f>
        <v/>
      </c>
      <c r="H61" s="38">
        <f>(E61/SUM($E$4:$E$61))*'2. Kampanya Kırılımı'!$F$2+IF($A61="Doktor Sayfaları",(E61/SUMIFS($E$4:$E$61,$A$4:$A$61,"Doktor Sayfaları"))*'2. Kampanya Kırılımı'!$H$2,0)</f>
        <v/>
      </c>
      <c r="I61" s="38">
        <f>(E61/SUM($E$4:$E$61))*'2. Kampanya Kırılımı'!$F$2+IF($A61="Doktor Sayfaları",(E61/SUMIFS($E$4:$E$61,$A$4:$A$61,"Doktor Sayfaları"))*'2. Kampanya Kırılımı'!$J$2,0)</f>
        <v/>
      </c>
      <c r="J61" s="38">
        <f>G61*30</f>
        <v/>
      </c>
      <c r="K61" s="38">
        <f>H61*30</f>
        <v/>
      </c>
      <c r="L61" s="38">
        <f>I61*30</f>
        <v/>
      </c>
    </row>
    <row r="62">
      <c r="A62" s="40" t="n"/>
      <c r="B62" s="40" t="n"/>
      <c r="C62" s="40" t="n"/>
      <c r="D62" s="41" t="inlineStr">
        <is>
          <t>GENEL TOPLAM</t>
        </is>
      </c>
      <c r="E62" s="20">
        <f>SUM(E4:E61)</f>
        <v/>
      </c>
      <c r="F62" s="21">
        <f>SUM(F4:F61)</f>
        <v/>
      </c>
      <c r="G62" s="20">
        <f>SUM(G4:G61)</f>
        <v/>
      </c>
      <c r="H62" s="20">
        <f>SUM(H4:H61)</f>
        <v/>
      </c>
      <c r="I62" s="20">
        <f>SUM(I4:I61)</f>
        <v/>
      </c>
      <c r="J62" s="20">
        <f>SUM(J4:J61)</f>
        <v/>
      </c>
      <c r="K62" s="20">
        <f>SUM(K4:K61)</f>
        <v/>
      </c>
      <c r="L62" s="20">
        <f>SUM(L4:L61)</f>
        <v/>
      </c>
    </row>
  </sheetData>
  <autoFilter ref="A3:L61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2026-07-23T11:10:33Z</dcterms:created>
  <dcterms:modified xsi:type="dcterms:W3CDTF">2026-07-23T11:10:33Z</dcterms:modified>
</cp:coreProperties>
</file>