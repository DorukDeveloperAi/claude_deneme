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Kategori + Amaç Kıyaslama" sheetId="1" state="visible" r:id="rId1"/>
    <sheet name="Ver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+#,##0 &quot;TL&quot;;-#,##0 &quot;TL&quot;;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1F3A5F"/>
      <sz val="15"/>
    </font>
    <font>
      <name val="Arial"/>
      <i val="1"/>
      <color rgb="00555555"/>
      <sz val="9"/>
    </font>
    <font>
      <name val="Arial"/>
      <b val="1"/>
      <color rgb="001F3A5F"/>
      <sz val="9"/>
    </font>
    <font>
      <name val="Arial"/>
      <b val="1"/>
      <color rgb="00333333"/>
      <sz val="9"/>
    </font>
    <font>
      <name val="Arial"/>
      <b val="1"/>
      <color rgb="000000FF"/>
      <sz val="11"/>
    </font>
    <font>
      <name val="Arial"/>
      <b val="1"/>
      <color rgb="00FFFFFF"/>
      <sz val="12"/>
    </font>
    <font>
      <name val="Arial"/>
      <color rgb="00333333"/>
      <sz val="9"/>
    </font>
    <font>
      <name val="Arial"/>
      <color rgb="001A1A1A"/>
      <sz val="9"/>
    </font>
    <font>
      <name val="Arial"/>
      <b val="1"/>
      <color rgb="00FFFFFF"/>
      <sz val="10"/>
    </font>
    <font>
      <name val="Arial"/>
      <b val="1"/>
      <color rgb="006D4C7D"/>
      <sz val="9"/>
    </font>
    <font>
      <name val="Arial"/>
      <i val="1"/>
      <color rgb="002E7D32"/>
      <sz val="9"/>
    </font>
    <font>
      <name val="Arial"/>
      <i val="1"/>
      <color rgb="006B7280"/>
      <sz val="9"/>
    </font>
    <font>
      <name val="Arial"/>
      <b val="1"/>
      <color rgb="002E7D32"/>
      <sz val="9"/>
    </font>
    <font>
      <name val="Arial"/>
      <i val="1"/>
      <color rgb="00777777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  <fill>
      <patternFill patternType="solid">
        <fgColor rgb="00C8A45C"/>
      </patternFill>
    </fill>
    <fill>
      <patternFill patternType="solid">
        <fgColor rgb="00F3EEF7"/>
      </patternFill>
    </fill>
    <fill>
      <patternFill patternType="solid">
        <fgColor rgb="006D4C7D"/>
      </patternFill>
    </fill>
    <fill>
      <patternFill patternType="solid">
        <fgColor rgb="006B7280"/>
      </patternFill>
    </fill>
    <fill>
      <patternFill patternType="solid">
        <fgColor rgb="002E7D8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/>
    </xf>
    <xf numFmtId="0" fontId="5" fillId="0" borderId="0" pivotButton="0" quotePrefix="0" xfId="0"/>
    <xf numFmtId="164" fontId="6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10" fillId="2" borderId="1" pivotButton="0" quotePrefix="0" xfId="0"/>
    <xf numFmtId="165" fontId="10" fillId="2" borderId="1" pivotButton="0" quotePrefix="0" xfId="0"/>
    <xf numFmtId="0" fontId="8" fillId="0" borderId="1" applyAlignment="1" pivotButton="0" quotePrefix="0" xfId="0">
      <alignment horizontal="left" vertical="center" indent="2"/>
    </xf>
    <xf numFmtId="164" fontId="9" fillId="0" borderId="1" pivotButton="0" quotePrefix="0" xfId="0"/>
    <xf numFmtId="165" fontId="9" fillId="0" borderId="1" pivotButton="0" quotePrefix="0" xfId="0"/>
    <xf numFmtId="0" fontId="10" fillId="4" borderId="1" applyAlignment="1" pivotButton="0" quotePrefix="0" xfId="0">
      <alignment horizontal="left" vertical="center" wrapText="1"/>
    </xf>
    <xf numFmtId="164" fontId="10" fillId="4" borderId="1" pivotButton="0" quotePrefix="0" xfId="0"/>
    <xf numFmtId="165" fontId="10" fillId="4" borderId="1" pivotButton="0" quotePrefix="0" xfId="0"/>
    <xf numFmtId="0" fontId="10" fillId="6" borderId="1" applyAlignment="1" pivotButton="0" quotePrefix="0" xfId="0">
      <alignment horizontal="left" vertical="center" wrapText="1"/>
    </xf>
    <xf numFmtId="164" fontId="10" fillId="6" borderId="1" pivotButton="0" quotePrefix="0" xfId="0"/>
    <xf numFmtId="165" fontId="10" fillId="6" borderId="1" pivotButton="0" quotePrefix="0" xfId="0"/>
    <xf numFmtId="0" fontId="11" fillId="0" borderId="1" applyAlignment="1" pivotButton="0" quotePrefix="0" xfId="0">
      <alignment horizontal="left" vertical="center" indent="2"/>
    </xf>
    <xf numFmtId="164" fontId="11" fillId="5" borderId="1" pivotButton="0" quotePrefix="0" xfId="0"/>
    <xf numFmtId="165" fontId="11" fillId="5" borderId="1" pivotButton="0" quotePrefix="0" xfId="0"/>
    <xf numFmtId="0" fontId="10" fillId="7" borderId="1" applyAlignment="1" pivotButton="0" quotePrefix="0" xfId="0">
      <alignment horizontal="left" vertical="center" wrapText="1"/>
    </xf>
    <xf numFmtId="164" fontId="10" fillId="7" borderId="1" pivotButton="0" quotePrefix="0" xfId="0"/>
    <xf numFmtId="165" fontId="10" fillId="7" borderId="1" pivotButton="0" quotePrefix="0" xfId="0"/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166" fontId="14" fillId="0" borderId="0" pivotButton="0" quotePrefix="0" xfId="0"/>
    <xf numFmtId="0" fontId="7" fillId="8" borderId="0" applyAlignment="1" pivotButton="0" quotePrefix="0" xfId="0">
      <alignment horizontal="left" vertical="center" indent="1"/>
    </xf>
    <xf numFmtId="0" fontId="1" fillId="8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0" customWidth="1" min="4" max="4"/>
    <col width="16" customWidth="1" min="5" max="5"/>
    <col width="16" customWidth="1" min="6" max="6"/>
    <col width="16" customWidth="1" min="7" max="7"/>
  </cols>
  <sheetData>
    <row r="2" ht="26" customHeight="1">
      <c r="B2" s="1" t="inlineStr">
        <is>
          <t>KATEGORİ + AMAÇ KIYASLAMA (Kategori üstte · amaç altında)</t>
        </is>
      </c>
    </row>
    <row r="3">
      <c r="B3" s="2" t="inlineStr">
        <is>
          <t>Her ana kategori (kalın) altında amaç kırılımı. Kolonlar yan yana: Gerçekleşen (23 Haz–22 Tem 2026) · Mevcut Bütçe 60K · Doktora +10K (70K) · Doktora +20K (80K). Ek bütçe yalnız doktor sayfalarına (=Instagram Öne Çıkarma) eklenir; hastane/estetik sabit.</t>
        </is>
      </c>
    </row>
    <row r="5">
      <c r="B5" s="3" t="inlineStr">
        <is>
          <t>PARAMETRELER →</t>
        </is>
      </c>
      <c r="C5" s="4" t="inlineStr">
        <is>
          <t>Bütçe 60K:</t>
        </is>
      </c>
      <c r="D5" s="5" t="n">
        <v>60000</v>
      </c>
      <c r="E5" s="6" t="inlineStr">
        <is>
          <t>Ek A:</t>
        </is>
      </c>
      <c r="F5" s="5" t="n">
        <v>10000</v>
      </c>
    </row>
    <row r="6">
      <c r="E6" s="6" t="inlineStr">
        <is>
          <t>Ek B:</t>
        </is>
      </c>
      <c r="F6" s="5" t="n">
        <v>20000</v>
      </c>
    </row>
    <row r="8" ht="24" customHeight="1">
      <c r="B8" s="7" t="inlineStr">
        <is>
          <t>AYLIK KIYASLAMA (TL / 30 gün) — Gerçekleşen = gerçek 30 günlük tutar</t>
        </is>
      </c>
    </row>
    <row r="9">
      <c r="B9" s="8" t="inlineStr">
        <is>
          <t>Kategori / Amaç</t>
        </is>
      </c>
      <c r="C9" s="8" t="inlineStr">
        <is>
          <t>Gerçekleşen</t>
        </is>
      </c>
      <c r="D9" s="8" t="inlineStr">
        <is>
          <t>Pay %</t>
        </is>
      </c>
      <c r="E9" s="8" t="inlineStr">
        <is>
          <t>Mevcut Bütçe 60K</t>
        </is>
      </c>
      <c r="F9" s="8" t="inlineStr">
        <is>
          <t>Doktora +10K (70K)</t>
        </is>
      </c>
      <c r="G9" s="8" t="inlineStr">
        <is>
          <t>Doktora +20K (80K)</t>
        </is>
      </c>
    </row>
    <row r="10">
      <c r="B10" s="9" t="inlineStr">
        <is>
          <t>Hastane (Kurumsal)</t>
        </is>
      </c>
      <c r="C10" s="10">
        <f>SUM(C11:C13)</f>
        <v/>
      </c>
      <c r="D10" s="11">
        <f>SUM(D11:D13)</f>
        <v/>
      </c>
      <c r="E10" s="10">
        <f>SUM(E11:E13)</f>
        <v/>
      </c>
      <c r="F10" s="10">
        <f>SUM(F11:F13)</f>
        <v/>
      </c>
      <c r="G10" s="10">
        <f>SUM(G11:G13)</f>
        <v/>
      </c>
    </row>
    <row r="11">
      <c r="B11" s="12" t="inlineStr">
        <is>
          <t>Lead Toplama (Form)</t>
        </is>
      </c>
      <c r="C11" s="13">
        <f>(SUMIFS(Veri!$D$2:$D$763,Veri!$B$2:$B$763,"Hastane (Kurumsal)",Veri!$C$2:$C$763,"Lead Toplama (Form)"))/1</f>
        <v/>
      </c>
      <c r="D11" s="14">
        <f>(SUMIFS(Veri!$D$2:$D$763,Veri!$B$2:$B$763,"Hastane (Kurumsal)",Veri!$C$2:$C$763,"Lead Toplama (Form)"))/SUM(Veri!$D$2:$D$763)</f>
        <v/>
      </c>
      <c r="E11" s="13">
        <f>((SUMIFS(Veri!$D$2:$D$763,Veri!$B$2:$B$763,"Hastane (Kurumsal)",Veri!$C$2:$C$763,"Lead Toplama (Form)")/SUM(Veri!$D$2:$D$763))*$D$5)*30</f>
        <v/>
      </c>
      <c r="F11" s="13">
        <f>(((SUMIFS(Veri!$D$2:$D$763,Veri!$B$2:$B$763,"Hastane (Kurumsal)",Veri!$C$2:$C$763,"Lead Toplama (Form)")/SUM(Veri!$D$2:$D$763))*$D$5)+0)*30</f>
        <v/>
      </c>
      <c r="G11" s="13">
        <f>(((SUMIFS(Veri!$D$2:$D$763,Veri!$B$2:$B$763,"Hastane (Kurumsal)",Veri!$C$2:$C$763,"Lead Toplama (Form)")/SUM(Veri!$D$2:$D$763))*$D$5)+0)*30</f>
        <v/>
      </c>
    </row>
    <row r="12">
      <c r="B12" s="12" t="inlineStr">
        <is>
          <t>Instagram Öne Çıkarma</t>
        </is>
      </c>
      <c r="C12" s="13">
        <f>(SUMIFS(Veri!$D$2:$D$763,Veri!$B$2:$B$763,"Hastane (Kurumsal)",Veri!$C$2:$C$763,"Instagram Öne Çıkarma"))/1</f>
        <v/>
      </c>
      <c r="D12" s="14">
        <f>(SUMIFS(Veri!$D$2:$D$763,Veri!$B$2:$B$763,"Hastane (Kurumsal)",Veri!$C$2:$C$763,"Instagram Öne Çıkarma"))/SUM(Veri!$D$2:$D$763)</f>
        <v/>
      </c>
      <c r="E12" s="13">
        <f>((SUMIFS(Veri!$D$2:$D$763,Veri!$B$2:$B$763,"Hastane (Kurumsal)",Veri!$C$2:$C$763,"Instagram Öne Çıkarma")/SUM(Veri!$D$2:$D$763))*$D$5)*30</f>
        <v/>
      </c>
      <c r="F12" s="13">
        <f>(((SUMIFS(Veri!$D$2:$D$763,Veri!$B$2:$B$763,"Hastane (Kurumsal)",Veri!$C$2:$C$763,"Instagram Öne Çıkarma")/SUM(Veri!$D$2:$D$763))*$D$5)+0)*30</f>
        <v/>
      </c>
      <c r="G12" s="13">
        <f>(((SUMIFS(Veri!$D$2:$D$763,Veri!$B$2:$B$763,"Hastane (Kurumsal)",Veri!$C$2:$C$763,"Instagram Öne Çıkarma")/SUM(Veri!$D$2:$D$763))*$D$5)+0)*30</f>
        <v/>
      </c>
    </row>
    <row r="13">
      <c r="B13" s="12" t="inlineStr">
        <is>
          <t>Marka Bilinirliği (Erişim)</t>
        </is>
      </c>
      <c r="C13" s="13">
        <f>(SUMIFS(Veri!$D$2:$D$763,Veri!$B$2:$B$763,"Hastane (Kurumsal)",Veri!$C$2:$C$763,"Marka Bilinirliği (Erişim)"))/1</f>
        <v/>
      </c>
      <c r="D13" s="14">
        <f>(SUMIFS(Veri!$D$2:$D$763,Veri!$B$2:$B$763,"Hastane (Kurumsal)",Veri!$C$2:$C$763,"Marka Bilinirliği (Erişim)"))/SUM(Veri!$D$2:$D$763)</f>
        <v/>
      </c>
      <c r="E13" s="13">
        <f>((SUMIFS(Veri!$D$2:$D$763,Veri!$B$2:$B$763,"Hastane (Kurumsal)",Veri!$C$2:$C$763,"Marka Bilinirliği (Erişim)")/SUM(Veri!$D$2:$D$763))*$D$5)*30</f>
        <v/>
      </c>
      <c r="F13" s="13">
        <f>(((SUMIFS(Veri!$D$2:$D$763,Veri!$B$2:$B$763,"Hastane (Kurumsal)",Veri!$C$2:$C$763,"Marka Bilinirliği (Erişim)")/SUM(Veri!$D$2:$D$763))*$D$5)+0)*30</f>
        <v/>
      </c>
      <c r="G13" s="13">
        <f>(((SUMIFS(Veri!$D$2:$D$763,Veri!$B$2:$B$763,"Hastane (Kurumsal)",Veri!$C$2:$C$763,"Marka Bilinirliği (Erişim)")/SUM(Veri!$D$2:$D$763))*$D$5)+0)*30</f>
        <v/>
      </c>
    </row>
    <row r="14">
      <c r="B14" s="15" t="inlineStr">
        <is>
          <t>Estetik Marka</t>
        </is>
      </c>
      <c r="C14" s="16">
        <f>SUM(C15:C16)</f>
        <v/>
      </c>
      <c r="D14" s="17">
        <f>SUM(D15:D16)</f>
        <v/>
      </c>
      <c r="E14" s="16">
        <f>SUM(E15:E16)</f>
        <v/>
      </c>
      <c r="F14" s="16">
        <f>SUM(F15:F16)</f>
        <v/>
      </c>
      <c r="G14" s="16">
        <f>SUM(G15:G16)</f>
        <v/>
      </c>
    </row>
    <row r="15">
      <c r="B15" s="12" t="inlineStr">
        <is>
          <t>Lead Toplama (Form)</t>
        </is>
      </c>
      <c r="C15" s="13">
        <f>(SUMIFS(Veri!$D$2:$D$763,Veri!$B$2:$B$763,"Estetik Marka",Veri!$C$2:$C$763,"Lead Toplama (Form)"))/1</f>
        <v/>
      </c>
      <c r="D15" s="14">
        <f>(SUMIFS(Veri!$D$2:$D$763,Veri!$B$2:$B$763,"Estetik Marka",Veri!$C$2:$C$763,"Lead Toplama (Form)"))/SUM(Veri!$D$2:$D$763)</f>
        <v/>
      </c>
      <c r="E15" s="13">
        <f>((SUMIFS(Veri!$D$2:$D$763,Veri!$B$2:$B$763,"Estetik Marka",Veri!$C$2:$C$763,"Lead Toplama (Form)")/SUM(Veri!$D$2:$D$763))*$D$5)*30</f>
        <v/>
      </c>
      <c r="F15" s="13">
        <f>(((SUMIFS(Veri!$D$2:$D$763,Veri!$B$2:$B$763,"Estetik Marka",Veri!$C$2:$C$763,"Lead Toplama (Form)")/SUM(Veri!$D$2:$D$763))*$D$5)+0)*30</f>
        <v/>
      </c>
      <c r="G15" s="13">
        <f>(((SUMIFS(Veri!$D$2:$D$763,Veri!$B$2:$B$763,"Estetik Marka",Veri!$C$2:$C$763,"Lead Toplama (Form)")/SUM(Veri!$D$2:$D$763))*$D$5)+0)*30</f>
        <v/>
      </c>
    </row>
    <row r="16">
      <c r="B16" s="12" t="inlineStr">
        <is>
          <t>Instagram Öne Çıkarma</t>
        </is>
      </c>
      <c r="C16" s="13">
        <f>(SUMIFS(Veri!$D$2:$D$763,Veri!$B$2:$B$763,"Estetik Marka",Veri!$C$2:$C$763,"Instagram Öne Çıkarma"))/1</f>
        <v/>
      </c>
      <c r="D16" s="14">
        <f>(SUMIFS(Veri!$D$2:$D$763,Veri!$B$2:$B$763,"Estetik Marka",Veri!$C$2:$C$763,"Instagram Öne Çıkarma"))/SUM(Veri!$D$2:$D$763)</f>
        <v/>
      </c>
      <c r="E16" s="13">
        <f>((SUMIFS(Veri!$D$2:$D$763,Veri!$B$2:$B$763,"Estetik Marka",Veri!$C$2:$C$763,"Instagram Öne Çıkarma")/SUM(Veri!$D$2:$D$763))*$D$5)*30</f>
        <v/>
      </c>
      <c r="F16" s="13">
        <f>(((SUMIFS(Veri!$D$2:$D$763,Veri!$B$2:$B$763,"Estetik Marka",Veri!$C$2:$C$763,"Instagram Öne Çıkarma")/SUM(Veri!$D$2:$D$763))*$D$5)+0)*30</f>
        <v/>
      </c>
      <c r="G16" s="13">
        <f>(((SUMIFS(Veri!$D$2:$D$763,Veri!$B$2:$B$763,"Estetik Marka",Veri!$C$2:$C$763,"Instagram Öne Çıkarma")/SUM(Veri!$D$2:$D$763))*$D$5)+0)*30</f>
        <v/>
      </c>
    </row>
    <row r="17">
      <c r="B17" s="18" t="inlineStr">
        <is>
          <t>Doktor Sayfaları</t>
        </is>
      </c>
      <c r="C17" s="19">
        <f>SUM(C18:C18)</f>
        <v/>
      </c>
      <c r="D17" s="20">
        <f>SUM(D18:D18)</f>
        <v/>
      </c>
      <c r="E17" s="19">
        <f>SUM(E18:E18)</f>
        <v/>
      </c>
      <c r="F17" s="19">
        <f>SUM(F18:F18)</f>
        <v/>
      </c>
      <c r="G17" s="19">
        <f>SUM(G18:G18)</f>
        <v/>
      </c>
    </row>
    <row r="18">
      <c r="B18" s="21" t="inlineStr">
        <is>
          <t>Instagram Öne Çıkarma</t>
        </is>
      </c>
      <c r="C18" s="22">
        <f>(SUMIFS(Veri!$D$2:$D$763,Veri!$B$2:$B$763,"Doktor Sayfaları",Veri!$C$2:$C$763,"Instagram Öne Çıkarma"))/1</f>
        <v/>
      </c>
      <c r="D18" s="23">
        <f>(SUMIFS(Veri!$D$2:$D$763,Veri!$B$2:$B$763,"Doktor Sayfaları",Veri!$C$2:$C$763,"Instagram Öne Çıkarma"))/SUM(Veri!$D$2:$D$763)</f>
        <v/>
      </c>
      <c r="E18" s="22">
        <f>((SUMIFS(Veri!$D$2:$D$763,Veri!$B$2:$B$763,"Doktor Sayfaları",Veri!$C$2:$C$763,"Instagram Öne Çıkarma")/SUM(Veri!$D$2:$D$763))*$D$5)*30</f>
        <v/>
      </c>
      <c r="F18" s="22">
        <f>(((SUMIFS(Veri!$D$2:$D$763,Veri!$B$2:$B$763,"Doktor Sayfaları",Veri!$C$2:$C$763,"Instagram Öne Çıkarma")/SUM(Veri!$D$2:$D$763))*$D$5)+$F$5)*30</f>
        <v/>
      </c>
      <c r="G18" s="22">
        <f>(((SUMIFS(Veri!$D$2:$D$763,Veri!$B$2:$B$763,"Doktor Sayfaları",Veri!$C$2:$C$763,"Instagram Öne Çıkarma")/SUM(Veri!$D$2:$D$763))*$D$5)+$F$6)*30</f>
        <v/>
      </c>
    </row>
    <row r="19">
      <c r="B19" s="24" t="inlineStr">
        <is>
          <t>GENEL TOPLAM</t>
        </is>
      </c>
      <c r="C19" s="25">
        <f>C10+C14+C17</f>
        <v/>
      </c>
      <c r="D19" s="26">
        <f>D10+D14+D17</f>
        <v/>
      </c>
      <c r="E19" s="25">
        <f>E10+E14+E17</f>
        <v/>
      </c>
      <c r="F19" s="25">
        <f>F10+F14+F17</f>
        <v/>
      </c>
      <c r="G19" s="25">
        <f>G10+G14+G17</f>
        <v/>
      </c>
    </row>
    <row r="20">
      <c r="B20" s="27" t="inlineStr">
        <is>
          <t>Δ Senaryo − Gerçekleşen (toplam)</t>
        </is>
      </c>
      <c r="C20" s="28" t="inlineStr">
        <is>
          <t>(baz)</t>
        </is>
      </c>
      <c r="E20" s="29">
        <f>E19-$C$19</f>
        <v/>
      </c>
      <c r="F20" s="29">
        <f>F19-$C$19</f>
        <v/>
      </c>
      <c r="G20" s="29">
        <f>G19-$C$19</f>
        <v/>
      </c>
    </row>
    <row r="22" ht="24" customHeight="1">
      <c r="B22" s="30" t="inlineStr">
        <is>
          <t>GÜNLÜK KIYASLAMA (TL / gün) — Gerçekleşen = 30 günlük ÷ 30</t>
        </is>
      </c>
    </row>
    <row r="23">
      <c r="B23" s="31" t="inlineStr">
        <is>
          <t>Kategori / Amaç</t>
        </is>
      </c>
      <c r="C23" s="31" t="inlineStr">
        <is>
          <t>Gerçekleşen</t>
        </is>
      </c>
      <c r="D23" s="31" t="inlineStr">
        <is>
          <t>Pay %</t>
        </is>
      </c>
      <c r="E23" s="31" t="inlineStr">
        <is>
          <t>Mevcut Bütçe 60K</t>
        </is>
      </c>
      <c r="F23" s="31" t="inlineStr">
        <is>
          <t>Doktora +10K (70K)</t>
        </is>
      </c>
      <c r="G23" s="31" t="inlineStr">
        <is>
          <t>Doktora +20K (80K)</t>
        </is>
      </c>
    </row>
    <row r="24">
      <c r="B24" s="9" t="inlineStr">
        <is>
          <t>Hastane (Kurumsal)</t>
        </is>
      </c>
      <c r="C24" s="10">
        <f>SUM(C25:C27)</f>
        <v/>
      </c>
      <c r="D24" s="11">
        <f>SUM(D25:D27)</f>
        <v/>
      </c>
      <c r="E24" s="10">
        <f>SUM(E25:E27)</f>
        <v/>
      </c>
      <c r="F24" s="10">
        <f>SUM(F25:F27)</f>
        <v/>
      </c>
      <c r="G24" s="10">
        <f>SUM(G25:G27)</f>
        <v/>
      </c>
    </row>
    <row r="25">
      <c r="B25" s="12" t="inlineStr">
        <is>
          <t>Lead Toplama (Form)</t>
        </is>
      </c>
      <c r="C25" s="13">
        <f>(SUMIFS(Veri!$D$2:$D$763,Veri!$B$2:$B$763,"Hastane (Kurumsal)",Veri!$C$2:$C$763,"Lead Toplama (Form)"))/30</f>
        <v/>
      </c>
      <c r="D25" s="14">
        <f>(SUMIFS(Veri!$D$2:$D$763,Veri!$B$2:$B$763,"Hastane (Kurumsal)",Veri!$C$2:$C$763,"Lead Toplama (Form)"))/SUM(Veri!$D$2:$D$763)</f>
        <v/>
      </c>
      <c r="E25" s="13">
        <f>(SUMIFS(Veri!$D$2:$D$763,Veri!$B$2:$B$763,"Hastane (Kurumsal)",Veri!$C$2:$C$763,"Lead Toplama (Form)")/SUM(Veri!$D$2:$D$763))*$D$5</f>
        <v/>
      </c>
      <c r="F25" s="13">
        <f>((SUMIFS(Veri!$D$2:$D$763,Veri!$B$2:$B$763,"Hastane (Kurumsal)",Veri!$C$2:$C$763,"Lead Toplama (Form)")/SUM(Veri!$D$2:$D$763))*$D$5)+0</f>
        <v/>
      </c>
      <c r="G25" s="13">
        <f>((SUMIFS(Veri!$D$2:$D$763,Veri!$B$2:$B$763,"Hastane (Kurumsal)",Veri!$C$2:$C$763,"Lead Toplama (Form)")/SUM(Veri!$D$2:$D$763))*$D$5)+0</f>
        <v/>
      </c>
    </row>
    <row r="26">
      <c r="B26" s="12" t="inlineStr">
        <is>
          <t>Instagram Öne Çıkarma</t>
        </is>
      </c>
      <c r="C26" s="13">
        <f>(SUMIFS(Veri!$D$2:$D$763,Veri!$B$2:$B$763,"Hastane (Kurumsal)",Veri!$C$2:$C$763,"Instagram Öne Çıkarma"))/30</f>
        <v/>
      </c>
      <c r="D26" s="14">
        <f>(SUMIFS(Veri!$D$2:$D$763,Veri!$B$2:$B$763,"Hastane (Kurumsal)",Veri!$C$2:$C$763,"Instagram Öne Çıkarma"))/SUM(Veri!$D$2:$D$763)</f>
        <v/>
      </c>
      <c r="E26" s="13">
        <f>(SUMIFS(Veri!$D$2:$D$763,Veri!$B$2:$B$763,"Hastane (Kurumsal)",Veri!$C$2:$C$763,"Instagram Öne Çıkarma")/SUM(Veri!$D$2:$D$763))*$D$5</f>
        <v/>
      </c>
      <c r="F26" s="13">
        <f>((SUMIFS(Veri!$D$2:$D$763,Veri!$B$2:$B$763,"Hastane (Kurumsal)",Veri!$C$2:$C$763,"Instagram Öne Çıkarma")/SUM(Veri!$D$2:$D$763))*$D$5)+0</f>
        <v/>
      </c>
      <c r="G26" s="13">
        <f>((SUMIFS(Veri!$D$2:$D$763,Veri!$B$2:$B$763,"Hastane (Kurumsal)",Veri!$C$2:$C$763,"Instagram Öne Çıkarma")/SUM(Veri!$D$2:$D$763))*$D$5)+0</f>
        <v/>
      </c>
    </row>
    <row r="27">
      <c r="B27" s="12" t="inlineStr">
        <is>
          <t>Marka Bilinirliği (Erişim)</t>
        </is>
      </c>
      <c r="C27" s="13">
        <f>(SUMIFS(Veri!$D$2:$D$763,Veri!$B$2:$B$763,"Hastane (Kurumsal)",Veri!$C$2:$C$763,"Marka Bilinirliği (Erişim)"))/30</f>
        <v/>
      </c>
      <c r="D27" s="14">
        <f>(SUMIFS(Veri!$D$2:$D$763,Veri!$B$2:$B$763,"Hastane (Kurumsal)",Veri!$C$2:$C$763,"Marka Bilinirliği (Erişim)"))/SUM(Veri!$D$2:$D$763)</f>
        <v/>
      </c>
      <c r="E27" s="13">
        <f>(SUMIFS(Veri!$D$2:$D$763,Veri!$B$2:$B$763,"Hastane (Kurumsal)",Veri!$C$2:$C$763,"Marka Bilinirliği (Erişim)")/SUM(Veri!$D$2:$D$763))*$D$5</f>
        <v/>
      </c>
      <c r="F27" s="13">
        <f>((SUMIFS(Veri!$D$2:$D$763,Veri!$B$2:$B$763,"Hastane (Kurumsal)",Veri!$C$2:$C$763,"Marka Bilinirliği (Erişim)")/SUM(Veri!$D$2:$D$763))*$D$5)+0</f>
        <v/>
      </c>
      <c r="G27" s="13">
        <f>((SUMIFS(Veri!$D$2:$D$763,Veri!$B$2:$B$763,"Hastane (Kurumsal)",Veri!$C$2:$C$763,"Marka Bilinirliği (Erişim)")/SUM(Veri!$D$2:$D$763))*$D$5)+0</f>
        <v/>
      </c>
    </row>
    <row r="28">
      <c r="B28" s="15" t="inlineStr">
        <is>
          <t>Estetik Marka</t>
        </is>
      </c>
      <c r="C28" s="16">
        <f>SUM(C29:C30)</f>
        <v/>
      </c>
      <c r="D28" s="17">
        <f>SUM(D29:D30)</f>
        <v/>
      </c>
      <c r="E28" s="16">
        <f>SUM(E29:E30)</f>
        <v/>
      </c>
      <c r="F28" s="16">
        <f>SUM(F29:F30)</f>
        <v/>
      </c>
      <c r="G28" s="16">
        <f>SUM(G29:G30)</f>
        <v/>
      </c>
    </row>
    <row r="29">
      <c r="B29" s="12" t="inlineStr">
        <is>
          <t>Lead Toplama (Form)</t>
        </is>
      </c>
      <c r="C29" s="13">
        <f>(SUMIFS(Veri!$D$2:$D$763,Veri!$B$2:$B$763,"Estetik Marka",Veri!$C$2:$C$763,"Lead Toplama (Form)"))/30</f>
        <v/>
      </c>
      <c r="D29" s="14">
        <f>(SUMIFS(Veri!$D$2:$D$763,Veri!$B$2:$B$763,"Estetik Marka",Veri!$C$2:$C$763,"Lead Toplama (Form)"))/SUM(Veri!$D$2:$D$763)</f>
        <v/>
      </c>
      <c r="E29" s="13">
        <f>(SUMIFS(Veri!$D$2:$D$763,Veri!$B$2:$B$763,"Estetik Marka",Veri!$C$2:$C$763,"Lead Toplama (Form)")/SUM(Veri!$D$2:$D$763))*$D$5</f>
        <v/>
      </c>
      <c r="F29" s="13">
        <f>((SUMIFS(Veri!$D$2:$D$763,Veri!$B$2:$B$763,"Estetik Marka",Veri!$C$2:$C$763,"Lead Toplama (Form)")/SUM(Veri!$D$2:$D$763))*$D$5)+0</f>
        <v/>
      </c>
      <c r="G29" s="13">
        <f>((SUMIFS(Veri!$D$2:$D$763,Veri!$B$2:$B$763,"Estetik Marka",Veri!$C$2:$C$763,"Lead Toplama (Form)")/SUM(Veri!$D$2:$D$763))*$D$5)+0</f>
        <v/>
      </c>
    </row>
    <row r="30">
      <c r="B30" s="12" t="inlineStr">
        <is>
          <t>Instagram Öne Çıkarma</t>
        </is>
      </c>
      <c r="C30" s="13">
        <f>(SUMIFS(Veri!$D$2:$D$763,Veri!$B$2:$B$763,"Estetik Marka",Veri!$C$2:$C$763,"Instagram Öne Çıkarma"))/30</f>
        <v/>
      </c>
      <c r="D30" s="14">
        <f>(SUMIFS(Veri!$D$2:$D$763,Veri!$B$2:$B$763,"Estetik Marka",Veri!$C$2:$C$763,"Instagram Öne Çıkarma"))/SUM(Veri!$D$2:$D$763)</f>
        <v/>
      </c>
      <c r="E30" s="13">
        <f>(SUMIFS(Veri!$D$2:$D$763,Veri!$B$2:$B$763,"Estetik Marka",Veri!$C$2:$C$763,"Instagram Öne Çıkarma")/SUM(Veri!$D$2:$D$763))*$D$5</f>
        <v/>
      </c>
      <c r="F30" s="13">
        <f>((SUMIFS(Veri!$D$2:$D$763,Veri!$B$2:$B$763,"Estetik Marka",Veri!$C$2:$C$763,"Instagram Öne Çıkarma")/SUM(Veri!$D$2:$D$763))*$D$5)+0</f>
        <v/>
      </c>
      <c r="G30" s="13">
        <f>((SUMIFS(Veri!$D$2:$D$763,Veri!$B$2:$B$763,"Estetik Marka",Veri!$C$2:$C$763,"Instagram Öne Çıkarma")/SUM(Veri!$D$2:$D$763))*$D$5)+0</f>
        <v/>
      </c>
    </row>
    <row r="31">
      <c r="B31" s="18" t="inlineStr">
        <is>
          <t>Doktor Sayfaları</t>
        </is>
      </c>
      <c r="C31" s="19">
        <f>SUM(C32:C32)</f>
        <v/>
      </c>
      <c r="D31" s="20">
        <f>SUM(D32:D32)</f>
        <v/>
      </c>
      <c r="E31" s="19">
        <f>SUM(E32:E32)</f>
        <v/>
      </c>
      <c r="F31" s="19">
        <f>SUM(F32:F32)</f>
        <v/>
      </c>
      <c r="G31" s="19">
        <f>SUM(G32:G32)</f>
        <v/>
      </c>
    </row>
    <row r="32">
      <c r="B32" s="21" t="inlineStr">
        <is>
          <t>Instagram Öne Çıkarma</t>
        </is>
      </c>
      <c r="C32" s="22">
        <f>(SUMIFS(Veri!$D$2:$D$763,Veri!$B$2:$B$763,"Doktor Sayfaları",Veri!$C$2:$C$763,"Instagram Öne Çıkarma"))/30</f>
        <v/>
      </c>
      <c r="D32" s="23">
        <f>(SUMIFS(Veri!$D$2:$D$763,Veri!$B$2:$B$763,"Doktor Sayfaları",Veri!$C$2:$C$763,"Instagram Öne Çıkarma"))/SUM(Veri!$D$2:$D$763)</f>
        <v/>
      </c>
      <c r="E32" s="22">
        <f>(SUMIFS(Veri!$D$2:$D$763,Veri!$B$2:$B$763,"Doktor Sayfaları",Veri!$C$2:$C$763,"Instagram Öne Çıkarma")/SUM(Veri!$D$2:$D$763))*$D$5</f>
        <v/>
      </c>
      <c r="F32" s="22">
        <f>((SUMIFS(Veri!$D$2:$D$763,Veri!$B$2:$B$763,"Doktor Sayfaları",Veri!$C$2:$C$763,"Instagram Öne Çıkarma")/SUM(Veri!$D$2:$D$763))*$D$5)+$F$5</f>
        <v/>
      </c>
      <c r="G32" s="22">
        <f>((SUMIFS(Veri!$D$2:$D$763,Veri!$B$2:$B$763,"Doktor Sayfaları",Veri!$C$2:$C$763,"Instagram Öne Çıkarma")/SUM(Veri!$D$2:$D$763))*$D$5)+$F$6</f>
        <v/>
      </c>
    </row>
    <row r="33">
      <c r="B33" s="24" t="inlineStr">
        <is>
          <t>GENEL TOPLAM</t>
        </is>
      </c>
      <c r="C33" s="25">
        <f>C24+C28+C31</f>
        <v/>
      </c>
      <c r="D33" s="26">
        <f>D24+D28+D31</f>
        <v/>
      </c>
      <c r="E33" s="25">
        <f>E24+E28+E31</f>
        <v/>
      </c>
      <c r="F33" s="25">
        <f>F24+F28+F31</f>
        <v/>
      </c>
      <c r="G33" s="25">
        <f>G24+G28+G31</f>
        <v/>
      </c>
    </row>
    <row r="34">
      <c r="B34" s="27" t="inlineStr">
        <is>
          <t>Δ Senaryo − Gerçekleşen (toplam)</t>
        </is>
      </c>
      <c r="C34" s="28" t="inlineStr">
        <is>
          <t>(baz)</t>
        </is>
      </c>
      <c r="E34" s="29">
        <f>E33-$C$33</f>
        <v/>
      </c>
      <c r="F34" s="29">
        <f>F33-$C$33</f>
        <v/>
      </c>
      <c r="G34" s="29">
        <f>G33-$C$33</f>
        <v/>
      </c>
    </row>
    <row r="36">
      <c r="B36" s="32" t="inlineStr">
        <is>
          <t>Not: "Gerçekleşen" gerçek harcamadır. Mevcut bütçe ve senaryolar geçmiş oranlar korunarak hesaplanır.</t>
        </is>
      </c>
    </row>
    <row r="37">
      <c r="B37" s="32" t="inlineStr">
        <is>
          <t>Doktor sayfaları %100 Instagram Öne Çıkarma olduğundan +10K/+20K yalnız o satıra yansır; kategori toplamına otomatik taşınır.</t>
        </is>
      </c>
    </row>
    <row r="38">
      <c r="B38" s="32" t="inlineStr">
        <is>
          <t>Aktif gün (26) bazlı gerçekleşen günlük ortalama ≈ 38.921 TL/gün (30 günlük pencerede 4 gün yayın yoktu).</t>
        </is>
      </c>
    </row>
    <row r="39">
      <c r="B39" s="32" t="inlineStr">
        <is>
          <t>Sarı hücreleri (bütçe / Ek A / Ek B) değiştirerek kendi senaryolarınızı üretebilirsiniz.</t>
        </is>
      </c>
    </row>
  </sheetData>
  <mergeCells count="8">
    <mergeCell ref="B3:G3"/>
    <mergeCell ref="B2:G2"/>
    <mergeCell ref="B38:G38"/>
    <mergeCell ref="B36:G36"/>
    <mergeCell ref="B22:G22"/>
    <mergeCell ref="B37:G37"/>
    <mergeCell ref="B8:G8"/>
    <mergeCell ref="B39:G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63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14" customWidth="1" min="4" max="4"/>
  </cols>
  <sheetData>
    <row r="1">
      <c r="A1" s="33" t="inlineStr">
        <is>
          <t>sayfa</t>
        </is>
      </c>
      <c r="B1" s="33" t="inlineStr">
        <is>
          <t>ana</t>
        </is>
      </c>
      <c r="C1" s="33" t="inlineStr">
        <is>
          <t>amac</t>
        </is>
      </c>
      <c r="D1" s="33" t="inlineStr">
        <is>
          <t>harcama</t>
        </is>
      </c>
    </row>
    <row r="2">
      <c r="A2" t="inlineStr">
        <is>
          <t>Doruk Hastaneleri</t>
        </is>
      </c>
      <c r="B2" t="inlineStr">
        <is>
          <t>Hastane (Kurumsal)</t>
        </is>
      </c>
      <c r="C2" t="inlineStr">
        <is>
          <t>Lead Toplama (Form)</t>
        </is>
      </c>
      <c r="D2" t="n">
        <v>12022.45</v>
      </c>
    </row>
    <row r="3">
      <c r="A3" t="inlineStr">
        <is>
          <t>Doruk Hastaneleri</t>
        </is>
      </c>
      <c r="B3" t="inlineStr">
        <is>
          <t>Hastane (Kurumsal)</t>
        </is>
      </c>
      <c r="C3" t="inlineStr">
        <is>
          <t>Lead Toplama (Form)</t>
        </is>
      </c>
      <c r="D3" t="n">
        <v>11222.21</v>
      </c>
    </row>
    <row r="4">
      <c r="A4" t="inlineStr">
        <is>
          <t>Doruk Hastaneleri</t>
        </is>
      </c>
      <c r="B4" t="inlineStr">
        <is>
          <t>Hastane (Kurumsal)</t>
        </is>
      </c>
      <c r="C4" t="inlineStr">
        <is>
          <t>Lead Toplama (Form)</t>
        </is>
      </c>
      <c r="D4" t="n">
        <v>10526.57</v>
      </c>
    </row>
    <row r="5">
      <c r="A5" t="inlineStr">
        <is>
          <t>Doruk Hastaneleri</t>
        </is>
      </c>
      <c r="B5" t="inlineStr">
        <is>
          <t>Hastane (Kurumsal)</t>
        </is>
      </c>
      <c r="C5" t="inlineStr">
        <is>
          <t>Lead Toplama (Form)</t>
        </is>
      </c>
      <c r="D5" t="n">
        <v>9658.639999999999</v>
      </c>
    </row>
    <row r="6">
      <c r="A6" t="inlineStr">
        <is>
          <t>Doruk Hastaneleri</t>
        </is>
      </c>
      <c r="B6" t="inlineStr">
        <is>
          <t>Hastane (Kurumsal)</t>
        </is>
      </c>
      <c r="C6" t="inlineStr">
        <is>
          <t>Lead Toplama (Form)</t>
        </is>
      </c>
      <c r="D6" t="n">
        <v>9466.969999999999</v>
      </c>
    </row>
    <row r="7">
      <c r="A7" t="inlineStr">
        <is>
          <t>Doruk Hastaneleri</t>
        </is>
      </c>
      <c r="B7" t="inlineStr">
        <is>
          <t>Hastane (Kurumsal)</t>
        </is>
      </c>
      <c r="C7" t="inlineStr">
        <is>
          <t>Marka Bilinirliği (Erişim)</t>
        </is>
      </c>
      <c r="D7" t="n">
        <v>9323.719999999999</v>
      </c>
    </row>
    <row r="8">
      <c r="A8" t="inlineStr">
        <is>
          <t>Doruk Hastaneleri</t>
        </is>
      </c>
      <c r="B8" t="inlineStr">
        <is>
          <t>Hastane (Kurumsal)</t>
        </is>
      </c>
      <c r="C8" t="inlineStr">
        <is>
          <t>Marka Bilinirliği (Erişim)</t>
        </is>
      </c>
      <c r="D8" t="n">
        <v>9066.52</v>
      </c>
    </row>
    <row r="9">
      <c r="A9" t="inlineStr">
        <is>
          <t>Doruk Hastaneleri</t>
        </is>
      </c>
      <c r="B9" t="inlineStr">
        <is>
          <t>Hastane (Kurumsal)</t>
        </is>
      </c>
      <c r="C9" t="inlineStr">
        <is>
          <t>Marka Bilinirliği (Erişim)</t>
        </is>
      </c>
      <c r="D9" t="n">
        <v>9012.73</v>
      </c>
    </row>
    <row r="10">
      <c r="A10" t="inlineStr">
        <is>
          <t>Doruk Hastaneleri</t>
        </is>
      </c>
      <c r="B10" t="inlineStr">
        <is>
          <t>Hastane (Kurumsal)</t>
        </is>
      </c>
      <c r="C10" t="inlineStr">
        <is>
          <t>Marka Bilinirliği (Erişim)</t>
        </is>
      </c>
      <c r="D10" t="n">
        <v>8745.52</v>
      </c>
    </row>
    <row r="11">
      <c r="A11" t="inlineStr">
        <is>
          <t>Doruk Hastaneleri</t>
        </is>
      </c>
      <c r="B11" t="inlineStr">
        <is>
          <t>Hastane (Kurumsal)</t>
        </is>
      </c>
      <c r="C11" t="inlineStr">
        <is>
          <t>Lead Toplama (Form)</t>
        </is>
      </c>
      <c r="D11" t="n">
        <v>8350.65</v>
      </c>
    </row>
    <row r="12">
      <c r="A12" t="inlineStr">
        <is>
          <t>Doruk Hastaneleri</t>
        </is>
      </c>
      <c r="B12" t="inlineStr">
        <is>
          <t>Hastane (Kurumsal)</t>
        </is>
      </c>
      <c r="C12" t="inlineStr">
        <is>
          <t>Lead Toplama (Form)</t>
        </is>
      </c>
      <c r="D12" t="n">
        <v>8294.82</v>
      </c>
    </row>
    <row r="13">
      <c r="A13" t="inlineStr">
        <is>
          <t>Doruk Hastaneleri</t>
        </is>
      </c>
      <c r="B13" t="inlineStr">
        <is>
          <t>Hastane (Kurumsal)</t>
        </is>
      </c>
      <c r="C13" t="inlineStr">
        <is>
          <t>Lead Toplama (Form)</t>
        </is>
      </c>
      <c r="D13" t="n">
        <v>7997.32</v>
      </c>
    </row>
    <row r="14">
      <c r="A14" t="inlineStr">
        <is>
          <t>Doruk Hastaneleri</t>
        </is>
      </c>
      <c r="B14" t="inlineStr">
        <is>
          <t>Hastane (Kurumsal)</t>
        </is>
      </c>
      <c r="C14" t="inlineStr">
        <is>
          <t>Lead Toplama (Form)</t>
        </is>
      </c>
      <c r="D14" t="n">
        <v>7870.08</v>
      </c>
    </row>
    <row r="15">
      <c r="A15" t="inlineStr">
        <is>
          <t>Doruk Hastaneleri</t>
        </is>
      </c>
      <c r="B15" t="inlineStr">
        <is>
          <t>Hastane (Kurumsal)</t>
        </is>
      </c>
      <c r="C15" t="inlineStr">
        <is>
          <t>Marka Bilinirliği (Erişim)</t>
        </is>
      </c>
      <c r="D15" t="n">
        <v>7625.57</v>
      </c>
    </row>
    <row r="16">
      <c r="A16" t="inlineStr">
        <is>
          <t>Doruk Hastaneleri</t>
        </is>
      </c>
      <c r="B16" t="inlineStr">
        <is>
          <t>Hastane (Kurumsal)</t>
        </is>
      </c>
      <c r="C16" t="inlineStr">
        <is>
          <t>Marka Bilinirliği (Erişim)</t>
        </is>
      </c>
      <c r="D16" t="n">
        <v>7564.69</v>
      </c>
    </row>
    <row r="17">
      <c r="A17" t="inlineStr">
        <is>
          <t>Doruk Hastaneleri</t>
        </is>
      </c>
      <c r="B17" t="inlineStr">
        <is>
          <t>Hastane (Kurumsal)</t>
        </is>
      </c>
      <c r="C17" t="inlineStr">
        <is>
          <t>Lead Toplama (Form)</t>
        </is>
      </c>
      <c r="D17" t="n">
        <v>7466.22</v>
      </c>
    </row>
    <row r="18">
      <c r="A18" t="inlineStr">
        <is>
          <t>Doruk Hastaneleri</t>
        </is>
      </c>
      <c r="B18" t="inlineStr">
        <is>
          <t>Hastane (Kurumsal)</t>
        </is>
      </c>
      <c r="C18" t="inlineStr">
        <is>
          <t>Lead Toplama (Form)</t>
        </is>
      </c>
      <c r="D18" t="n">
        <v>7345.32</v>
      </c>
    </row>
    <row r="19">
      <c r="A19" t="inlineStr">
        <is>
          <t>Doruk Hastaneleri</t>
        </is>
      </c>
      <c r="B19" t="inlineStr">
        <is>
          <t>Hastane (Kurumsal)</t>
        </is>
      </c>
      <c r="C19" t="inlineStr">
        <is>
          <t>Lead Toplama (Form)</t>
        </is>
      </c>
      <c r="D19" t="n">
        <v>7118.94</v>
      </c>
    </row>
    <row r="20">
      <c r="A20" t="inlineStr">
        <is>
          <t>Doruk Hastaneleri</t>
        </is>
      </c>
      <c r="B20" t="inlineStr">
        <is>
          <t>Hastane (Kurumsal)</t>
        </is>
      </c>
      <c r="C20" t="inlineStr">
        <is>
          <t>Lead Toplama (Form)</t>
        </is>
      </c>
      <c r="D20" t="n">
        <v>7103.4</v>
      </c>
    </row>
    <row r="21">
      <c r="A21" t="inlineStr">
        <is>
          <t>Doruk Hastaneleri</t>
        </is>
      </c>
      <c r="B21" t="inlineStr">
        <is>
          <t>Hastane (Kurumsal)</t>
        </is>
      </c>
      <c r="C21" t="inlineStr">
        <is>
          <t>Lead Toplama (Form)</t>
        </is>
      </c>
      <c r="D21" t="n">
        <v>7026.3</v>
      </c>
    </row>
    <row r="22">
      <c r="A22" t="inlineStr">
        <is>
          <t>Doruk Hastaneleri</t>
        </is>
      </c>
      <c r="B22" t="inlineStr">
        <is>
          <t>Hastane (Kurumsal)</t>
        </is>
      </c>
      <c r="C22" t="inlineStr">
        <is>
          <t>Lead Toplama (Form)</t>
        </is>
      </c>
      <c r="D22" t="n">
        <v>6907.49</v>
      </c>
    </row>
    <row r="23">
      <c r="A23" t="inlineStr">
        <is>
          <t>Doruk Hastaneleri</t>
        </is>
      </c>
      <c r="B23" t="inlineStr">
        <is>
          <t>Hastane (Kurumsal)</t>
        </is>
      </c>
      <c r="C23" t="inlineStr">
        <is>
          <t>Instagram Öne Çıkarma</t>
        </is>
      </c>
      <c r="D23" t="n">
        <v>6851.98</v>
      </c>
    </row>
    <row r="24">
      <c r="A24" t="inlineStr">
        <is>
          <t>Doruk Hastaneleri</t>
        </is>
      </c>
      <c r="B24" t="inlineStr">
        <is>
          <t>Hastane (Kurumsal)</t>
        </is>
      </c>
      <c r="C24" t="inlineStr">
        <is>
          <t>Lead Toplama (Form)</t>
        </is>
      </c>
      <c r="D24" t="n">
        <v>6824.15</v>
      </c>
    </row>
    <row r="25">
      <c r="A25" t="inlineStr">
        <is>
          <t>Doruk Hastaneleri</t>
        </is>
      </c>
      <c r="B25" t="inlineStr">
        <is>
          <t>Hastane (Kurumsal)</t>
        </is>
      </c>
      <c r="C25" t="inlineStr">
        <is>
          <t>Lead Toplama (Form)</t>
        </is>
      </c>
      <c r="D25" t="n">
        <v>6637.99</v>
      </c>
    </row>
    <row r="26">
      <c r="A26" t="inlineStr">
        <is>
          <t>Doruk Hastaneleri</t>
        </is>
      </c>
      <c r="B26" t="inlineStr">
        <is>
          <t>Hastane (Kurumsal)</t>
        </is>
      </c>
      <c r="C26" t="inlineStr">
        <is>
          <t>Marka Bilinirliği (Erişim)</t>
        </is>
      </c>
      <c r="D26" t="n">
        <v>6637.97</v>
      </c>
    </row>
    <row r="27">
      <c r="A27" t="inlineStr">
        <is>
          <t>Doruk Hastaneleri</t>
        </is>
      </c>
      <c r="B27" t="inlineStr">
        <is>
          <t>Hastane (Kurumsal)</t>
        </is>
      </c>
      <c r="C27" t="inlineStr">
        <is>
          <t>Marka Bilinirliği (Erişim)</t>
        </is>
      </c>
      <c r="D27" t="n">
        <v>6523.32</v>
      </c>
    </row>
    <row r="28">
      <c r="A28" t="inlineStr">
        <is>
          <t>Doruk Hastaneleri</t>
        </is>
      </c>
      <c r="B28" t="inlineStr">
        <is>
          <t>Hastane (Kurumsal)</t>
        </is>
      </c>
      <c r="C28" t="inlineStr">
        <is>
          <t>Marka Bilinirliği (Erişim)</t>
        </is>
      </c>
      <c r="D28" t="n">
        <v>6503.7</v>
      </c>
    </row>
    <row r="29">
      <c r="A29" t="inlineStr">
        <is>
          <t>Doruk Hastaneleri</t>
        </is>
      </c>
      <c r="B29" t="inlineStr">
        <is>
          <t>Hastane (Kurumsal)</t>
        </is>
      </c>
      <c r="C29" t="inlineStr">
        <is>
          <t>Lead Toplama (Form)</t>
        </is>
      </c>
      <c r="D29" t="n">
        <v>6449.66</v>
      </c>
    </row>
    <row r="30">
      <c r="A30" t="inlineStr">
        <is>
          <t>Doruk Hastaneleri</t>
        </is>
      </c>
      <c r="B30" t="inlineStr">
        <is>
          <t>Hastane (Kurumsal)</t>
        </is>
      </c>
      <c r="C30" t="inlineStr">
        <is>
          <t>Lead Toplama (Form)</t>
        </is>
      </c>
      <c r="D30" t="n">
        <v>6429.62</v>
      </c>
    </row>
    <row r="31">
      <c r="A31" t="inlineStr">
        <is>
          <t>Doruk Hastaneleri</t>
        </is>
      </c>
      <c r="B31" t="inlineStr">
        <is>
          <t>Hastane (Kurumsal)</t>
        </is>
      </c>
      <c r="C31" t="inlineStr">
        <is>
          <t>Lead Toplama (Form)</t>
        </is>
      </c>
      <c r="D31" t="n">
        <v>6373.47</v>
      </c>
    </row>
    <row r="32">
      <c r="A32" t="inlineStr">
        <is>
          <t>Doruk Hastaneleri</t>
        </is>
      </c>
      <c r="B32" t="inlineStr">
        <is>
          <t>Hastane (Kurumsal)</t>
        </is>
      </c>
      <c r="C32" t="inlineStr">
        <is>
          <t>Instagram Öne Çıkarma</t>
        </is>
      </c>
      <c r="D32" t="n">
        <v>6367.51</v>
      </c>
    </row>
    <row r="33">
      <c r="A33" t="inlineStr">
        <is>
          <t>Doruk Hastaneleri</t>
        </is>
      </c>
      <c r="B33" t="inlineStr">
        <is>
          <t>Hastane (Kurumsal)</t>
        </is>
      </c>
      <c r="C33" t="inlineStr">
        <is>
          <t>Lead Toplama (Form)</t>
        </is>
      </c>
      <c r="D33" t="n">
        <v>6009.94</v>
      </c>
    </row>
    <row r="34">
      <c r="A34" t="inlineStr">
        <is>
          <t>Doruk Hastaneleri</t>
        </is>
      </c>
      <c r="B34" t="inlineStr">
        <is>
          <t>Hastane (Kurumsal)</t>
        </is>
      </c>
      <c r="C34" t="inlineStr">
        <is>
          <t>Marka Bilinirliği (Erişim)</t>
        </is>
      </c>
      <c r="D34" t="n">
        <v>5888.94</v>
      </c>
    </row>
    <row r="35">
      <c r="A35" t="inlineStr">
        <is>
          <t>Doruk Hastaneleri</t>
        </is>
      </c>
      <c r="B35" t="inlineStr">
        <is>
          <t>Hastane (Kurumsal)</t>
        </is>
      </c>
      <c r="C35" t="inlineStr">
        <is>
          <t>Lead Toplama (Form)</t>
        </is>
      </c>
      <c r="D35" t="n">
        <v>5744.61</v>
      </c>
    </row>
    <row r="36">
      <c r="A36" t="inlineStr">
        <is>
          <t>Doruk Hastaneleri</t>
        </is>
      </c>
      <c r="B36" t="inlineStr">
        <is>
          <t>Hastane (Kurumsal)</t>
        </is>
      </c>
      <c r="C36" t="inlineStr">
        <is>
          <t>Instagram Öne Çıkarma</t>
        </is>
      </c>
      <c r="D36" t="n">
        <v>5617.01</v>
      </c>
    </row>
    <row r="37">
      <c r="A37" t="inlineStr">
        <is>
          <t>Doruk Hastaneleri</t>
        </is>
      </c>
      <c r="B37" t="inlineStr">
        <is>
          <t>Hastane (Kurumsal)</t>
        </is>
      </c>
      <c r="C37" t="inlineStr">
        <is>
          <t>Lead Toplama (Form)</t>
        </is>
      </c>
      <c r="D37" t="n">
        <v>5538.54</v>
      </c>
    </row>
    <row r="38">
      <c r="A38" t="inlineStr">
        <is>
          <t>Doruk Hastaneleri</t>
        </is>
      </c>
      <c r="B38" t="inlineStr">
        <is>
          <t>Hastane (Kurumsal)</t>
        </is>
      </c>
      <c r="C38" t="inlineStr">
        <is>
          <t>Marka Bilinirliği (Erişim)</t>
        </is>
      </c>
      <c r="D38" t="n">
        <v>5429.68</v>
      </c>
    </row>
    <row r="39">
      <c r="A39" t="inlineStr">
        <is>
          <t>Doruk Hastaneleri</t>
        </is>
      </c>
      <c r="B39" t="inlineStr">
        <is>
          <t>Hastane (Kurumsal)</t>
        </is>
      </c>
      <c r="C39" t="inlineStr">
        <is>
          <t>Instagram Öne Çıkarma</t>
        </is>
      </c>
      <c r="D39" t="n">
        <v>5277.94</v>
      </c>
    </row>
    <row r="40">
      <c r="A40" t="inlineStr">
        <is>
          <t>Doruk Hastaneleri</t>
        </is>
      </c>
      <c r="B40" t="inlineStr">
        <is>
          <t>Hastane (Kurumsal)</t>
        </is>
      </c>
      <c r="C40" t="inlineStr">
        <is>
          <t>Instagram Öne Çıkarma</t>
        </is>
      </c>
      <c r="D40" t="n">
        <v>5256.93</v>
      </c>
    </row>
    <row r="41">
      <c r="A41" t="inlineStr">
        <is>
          <t>Doruk Hastaneleri</t>
        </is>
      </c>
      <c r="B41" t="inlineStr">
        <is>
          <t>Hastane (Kurumsal)</t>
        </is>
      </c>
      <c r="C41" t="inlineStr">
        <is>
          <t>Lead Toplama (Form)</t>
        </is>
      </c>
      <c r="D41" t="n">
        <v>5224.49</v>
      </c>
    </row>
    <row r="42">
      <c r="A42" t="inlineStr">
        <is>
          <t>Doruk Hastaneleri</t>
        </is>
      </c>
      <c r="B42" t="inlineStr">
        <is>
          <t>Hastane (Kurumsal)</t>
        </is>
      </c>
      <c r="C42" t="inlineStr">
        <is>
          <t>Marka Bilinirliği (Erişim)</t>
        </is>
      </c>
      <c r="D42" t="n">
        <v>5210.7</v>
      </c>
    </row>
    <row r="43">
      <c r="A43" t="inlineStr">
        <is>
          <t>Doruk Hastaneleri</t>
        </is>
      </c>
      <c r="B43" t="inlineStr">
        <is>
          <t>Hastane (Kurumsal)</t>
        </is>
      </c>
      <c r="C43" t="inlineStr">
        <is>
          <t>Marka Bilinirliği (Erişim)</t>
        </is>
      </c>
      <c r="D43" t="n">
        <v>5186.35</v>
      </c>
    </row>
    <row r="44">
      <c r="A44" t="inlineStr">
        <is>
          <t>Doruk Hastaneleri</t>
        </is>
      </c>
      <c r="B44" t="inlineStr">
        <is>
          <t>Hastane (Kurumsal)</t>
        </is>
      </c>
      <c r="C44" t="inlineStr">
        <is>
          <t>Marka Bilinirliği (Erişim)</t>
        </is>
      </c>
      <c r="D44" t="n">
        <v>5036.82</v>
      </c>
    </row>
    <row r="45">
      <c r="A45" t="inlineStr">
        <is>
          <t>Doruk Hastaneleri</t>
        </is>
      </c>
      <c r="B45" t="inlineStr">
        <is>
          <t>Hastane (Kurumsal)</t>
        </is>
      </c>
      <c r="C45" t="inlineStr">
        <is>
          <t>Marka Bilinirliği (Erişim)</t>
        </is>
      </c>
      <c r="D45" t="n">
        <v>4955.58</v>
      </c>
    </row>
    <row r="46">
      <c r="A46" t="inlineStr">
        <is>
          <t>Doruk Hastaneleri</t>
        </is>
      </c>
      <c r="B46" t="inlineStr">
        <is>
          <t>Hastane (Kurumsal)</t>
        </is>
      </c>
      <c r="C46" t="inlineStr">
        <is>
          <t>Lead Toplama (Form)</t>
        </is>
      </c>
      <c r="D46" t="n">
        <v>4907.6</v>
      </c>
    </row>
    <row r="47">
      <c r="A47" t="inlineStr">
        <is>
          <t>Doruk Hastaneleri</t>
        </is>
      </c>
      <c r="B47" t="inlineStr">
        <is>
          <t>Hastane (Kurumsal)</t>
        </is>
      </c>
      <c r="C47" t="inlineStr">
        <is>
          <t>Lead Toplama (Form)</t>
        </is>
      </c>
      <c r="D47" t="n">
        <v>4815.9</v>
      </c>
    </row>
    <row r="48">
      <c r="A48" t="inlineStr">
        <is>
          <t>Doruk Hastaneleri</t>
        </is>
      </c>
      <c r="B48" t="inlineStr">
        <is>
          <t>Hastane (Kurumsal)</t>
        </is>
      </c>
      <c r="C48" t="inlineStr">
        <is>
          <t>Marka Bilinirliği (Erişim)</t>
        </is>
      </c>
      <c r="D48" t="n">
        <v>4786.77</v>
      </c>
    </row>
    <row r="49">
      <c r="A49" t="inlineStr">
        <is>
          <t>Doruk Hastaneleri</t>
        </is>
      </c>
      <c r="B49" t="inlineStr">
        <is>
          <t>Hastane (Kurumsal)</t>
        </is>
      </c>
      <c r="C49" t="inlineStr">
        <is>
          <t>Marka Bilinirliği (Erişim)</t>
        </is>
      </c>
      <c r="D49" t="n">
        <v>4769.89</v>
      </c>
    </row>
    <row r="50">
      <c r="A50" t="inlineStr">
        <is>
          <t>Doruk Hastaneleri</t>
        </is>
      </c>
      <c r="B50" t="inlineStr">
        <is>
          <t>Hastane (Kurumsal)</t>
        </is>
      </c>
      <c r="C50" t="inlineStr">
        <is>
          <t>Lead Toplama (Form)</t>
        </is>
      </c>
      <c r="D50" t="n">
        <v>4714.77</v>
      </c>
    </row>
    <row r="51">
      <c r="A51" t="inlineStr">
        <is>
          <t>Doruk Hastaneleri</t>
        </is>
      </c>
      <c r="B51" t="inlineStr">
        <is>
          <t>Hastane (Kurumsal)</t>
        </is>
      </c>
      <c r="C51" t="inlineStr">
        <is>
          <t>Instagram Öne Çıkarma</t>
        </is>
      </c>
      <c r="D51" t="n">
        <v>4703.02</v>
      </c>
    </row>
    <row r="52">
      <c r="A52" t="inlineStr">
        <is>
          <t>Doruk Hastaneleri</t>
        </is>
      </c>
      <c r="B52" t="inlineStr">
        <is>
          <t>Hastane (Kurumsal)</t>
        </is>
      </c>
      <c r="C52" t="inlineStr">
        <is>
          <t>Instagram Öne Çıkarma</t>
        </is>
      </c>
      <c r="D52" t="n">
        <v>4680.76</v>
      </c>
    </row>
    <row r="53">
      <c r="A53" t="inlineStr">
        <is>
          <t>Doruk Hastaneleri</t>
        </is>
      </c>
      <c r="B53" t="inlineStr">
        <is>
          <t>Hastane (Kurumsal)</t>
        </is>
      </c>
      <c r="C53" t="inlineStr">
        <is>
          <t>Lead Toplama (Form)</t>
        </is>
      </c>
      <c r="D53" t="n">
        <v>4677.51</v>
      </c>
    </row>
    <row r="54">
      <c r="A54" t="inlineStr">
        <is>
          <t>Doruk Hastaneleri</t>
        </is>
      </c>
      <c r="B54" t="inlineStr">
        <is>
          <t>Hastane (Kurumsal)</t>
        </is>
      </c>
      <c r="C54" t="inlineStr">
        <is>
          <t>Lead Toplama (Form)</t>
        </is>
      </c>
      <c r="D54" t="n">
        <v>4621.13</v>
      </c>
    </row>
    <row r="55">
      <c r="A55" t="inlineStr">
        <is>
          <t>Doruk Hastaneleri</t>
        </is>
      </c>
      <c r="B55" t="inlineStr">
        <is>
          <t>Hastane (Kurumsal)</t>
        </is>
      </c>
      <c r="C55" t="inlineStr">
        <is>
          <t>Instagram Öne Çıkarma</t>
        </is>
      </c>
      <c r="D55" t="n">
        <v>4599.17</v>
      </c>
    </row>
    <row r="56">
      <c r="A56" t="inlineStr">
        <is>
          <t>Doruk Hastaneleri</t>
        </is>
      </c>
      <c r="B56" t="inlineStr">
        <is>
          <t>Hastane (Kurumsal)</t>
        </is>
      </c>
      <c r="C56" t="inlineStr">
        <is>
          <t>Instagram Öne Çıkarma</t>
        </is>
      </c>
      <c r="D56" t="n">
        <v>4544.02</v>
      </c>
    </row>
    <row r="57">
      <c r="A57" t="inlineStr">
        <is>
          <t>Doruk Hastaneleri</t>
        </is>
      </c>
      <c r="B57" t="inlineStr">
        <is>
          <t>Hastane (Kurumsal)</t>
        </is>
      </c>
      <c r="C57" t="inlineStr">
        <is>
          <t>Lead Toplama (Form)</t>
        </is>
      </c>
      <c r="D57" t="n">
        <v>4366.16</v>
      </c>
    </row>
    <row r="58">
      <c r="A58" t="inlineStr">
        <is>
          <t>Doruk Hastaneleri</t>
        </is>
      </c>
      <c r="B58" t="inlineStr">
        <is>
          <t>Hastane (Kurumsal)</t>
        </is>
      </c>
      <c r="C58" t="inlineStr">
        <is>
          <t>Instagram Öne Çıkarma</t>
        </is>
      </c>
      <c r="D58" t="n">
        <v>4360.37</v>
      </c>
    </row>
    <row r="59">
      <c r="A59" t="inlineStr">
        <is>
          <t>Doruk Hastaneleri</t>
        </is>
      </c>
      <c r="B59" t="inlineStr">
        <is>
          <t>Hastane (Kurumsal)</t>
        </is>
      </c>
      <c r="C59" t="inlineStr">
        <is>
          <t>Instagram Öne Çıkarma</t>
        </is>
      </c>
      <c r="D59" t="n">
        <v>4328.79</v>
      </c>
    </row>
    <row r="60">
      <c r="A60" t="inlineStr">
        <is>
          <t>Doruk Hastaneleri</t>
        </is>
      </c>
      <c r="B60" t="inlineStr">
        <is>
          <t>Hastane (Kurumsal)</t>
        </is>
      </c>
      <c r="C60" t="inlineStr">
        <is>
          <t>Lead Toplama (Form)</t>
        </is>
      </c>
      <c r="D60" t="n">
        <v>4292.11</v>
      </c>
    </row>
    <row r="61">
      <c r="A61" t="inlineStr">
        <is>
          <t>Doruk Hastaneleri</t>
        </is>
      </c>
      <c r="B61" t="inlineStr">
        <is>
          <t>Hastane (Kurumsal)</t>
        </is>
      </c>
      <c r="C61" t="inlineStr">
        <is>
          <t>Marka Bilinirliği (Erişim)</t>
        </is>
      </c>
      <c r="D61" t="n">
        <v>4285.7</v>
      </c>
    </row>
    <row r="62">
      <c r="A62" t="inlineStr">
        <is>
          <t>Doruk Hastaneleri</t>
        </is>
      </c>
      <c r="B62" t="inlineStr">
        <is>
          <t>Hastane (Kurumsal)</t>
        </is>
      </c>
      <c r="C62" t="inlineStr">
        <is>
          <t>Lead Toplama (Form)</t>
        </is>
      </c>
      <c r="D62" t="n">
        <v>4262.86</v>
      </c>
    </row>
    <row r="63">
      <c r="A63" t="inlineStr">
        <is>
          <t>Doruk Hastaneleri</t>
        </is>
      </c>
      <c r="B63" t="inlineStr">
        <is>
          <t>Hastane (Kurumsal)</t>
        </is>
      </c>
      <c r="C63" t="inlineStr">
        <is>
          <t>Instagram Öne Çıkarma</t>
        </is>
      </c>
      <c r="D63" t="n">
        <v>4242.28</v>
      </c>
    </row>
    <row r="64">
      <c r="A64" t="inlineStr">
        <is>
          <t>Doruk Estetik &amp; Saç Ekimi</t>
        </is>
      </c>
      <c r="B64" t="inlineStr">
        <is>
          <t>Estetik Marka</t>
        </is>
      </c>
      <c r="C64" t="inlineStr">
        <is>
          <t>Lead Toplama (Form)</t>
        </is>
      </c>
      <c r="D64" t="n">
        <v>4145.8</v>
      </c>
    </row>
    <row r="65">
      <c r="A65" t="inlineStr">
        <is>
          <t>Doruk Hastaneleri</t>
        </is>
      </c>
      <c r="B65" t="inlineStr">
        <is>
          <t>Hastane (Kurumsal)</t>
        </is>
      </c>
      <c r="C65" t="inlineStr">
        <is>
          <t>Lead Toplama (Form)</t>
        </is>
      </c>
      <c r="D65" t="n">
        <v>4050.22</v>
      </c>
    </row>
    <row r="66">
      <c r="A66" t="inlineStr">
        <is>
          <t>Doruk Hastaneleri</t>
        </is>
      </c>
      <c r="B66" t="inlineStr">
        <is>
          <t>Hastane (Kurumsal)</t>
        </is>
      </c>
      <c r="C66" t="inlineStr">
        <is>
          <t>Instagram Öne Çıkarma</t>
        </is>
      </c>
      <c r="D66" t="n">
        <v>4039.18</v>
      </c>
    </row>
    <row r="67">
      <c r="A67" t="inlineStr">
        <is>
          <t>Doruk Hastaneleri</t>
        </is>
      </c>
      <c r="B67" t="inlineStr">
        <is>
          <t>Hastane (Kurumsal)</t>
        </is>
      </c>
      <c r="C67" t="inlineStr">
        <is>
          <t>Marka Bilinirliği (Erişim)</t>
        </is>
      </c>
      <c r="D67" t="n">
        <v>4021.96</v>
      </c>
    </row>
    <row r="68">
      <c r="A68" t="inlineStr">
        <is>
          <t>Doruk Estetik &amp; Saç Ekimi</t>
        </is>
      </c>
      <c r="B68" t="inlineStr">
        <is>
          <t>Estetik Marka</t>
        </is>
      </c>
      <c r="C68" t="inlineStr">
        <is>
          <t>Lead Toplama (Form)</t>
        </is>
      </c>
      <c r="D68" t="n">
        <v>4001.26</v>
      </c>
    </row>
    <row r="69">
      <c r="A69" t="inlineStr">
        <is>
          <t>Doruk Hastaneleri</t>
        </is>
      </c>
      <c r="B69" t="inlineStr">
        <is>
          <t>Hastane (Kurumsal)</t>
        </is>
      </c>
      <c r="C69" t="inlineStr">
        <is>
          <t>Instagram Öne Çıkarma</t>
        </is>
      </c>
      <c r="D69" t="n">
        <v>3923.96</v>
      </c>
    </row>
    <row r="70">
      <c r="A70" t="inlineStr">
        <is>
          <t>Doruk Hastaneleri</t>
        </is>
      </c>
      <c r="B70" t="inlineStr">
        <is>
          <t>Hastane (Kurumsal)</t>
        </is>
      </c>
      <c r="C70" t="inlineStr">
        <is>
          <t>Lead Toplama (Form)</t>
        </is>
      </c>
      <c r="D70" t="n">
        <v>3886.2</v>
      </c>
    </row>
    <row r="71">
      <c r="A71" t="inlineStr">
        <is>
          <t>Doruk Hastaneleri</t>
        </is>
      </c>
      <c r="B71" t="inlineStr">
        <is>
          <t>Hastane (Kurumsal)</t>
        </is>
      </c>
      <c r="C71" t="inlineStr">
        <is>
          <t>Marka Bilinirliği (Erişim)</t>
        </is>
      </c>
      <c r="D71" t="n">
        <v>3792.25</v>
      </c>
    </row>
    <row r="72">
      <c r="A72" t="inlineStr">
        <is>
          <t>Doruk Hastaneleri</t>
        </is>
      </c>
      <c r="B72" t="inlineStr">
        <is>
          <t>Hastane (Kurumsal)</t>
        </is>
      </c>
      <c r="C72" t="inlineStr">
        <is>
          <t>Lead Toplama (Form)</t>
        </is>
      </c>
      <c r="D72" t="n">
        <v>3773.89</v>
      </c>
    </row>
    <row r="73">
      <c r="A73" t="inlineStr">
        <is>
          <t>Doruk Hastaneleri</t>
        </is>
      </c>
      <c r="B73" t="inlineStr">
        <is>
          <t>Hastane (Kurumsal)</t>
        </is>
      </c>
      <c r="C73" t="inlineStr">
        <is>
          <t>Lead Toplama (Form)</t>
        </is>
      </c>
      <c r="D73" t="n">
        <v>3733.67</v>
      </c>
    </row>
    <row r="74">
      <c r="A74" t="inlineStr">
        <is>
          <t>Doruk Hastaneleri</t>
        </is>
      </c>
      <c r="B74" t="inlineStr">
        <is>
          <t>Hastane (Kurumsal)</t>
        </is>
      </c>
      <c r="C74" t="inlineStr">
        <is>
          <t>Instagram Öne Çıkarma</t>
        </is>
      </c>
      <c r="D74" t="n">
        <v>3714.23</v>
      </c>
    </row>
    <row r="75">
      <c r="A75" t="inlineStr">
        <is>
          <t>Doruk Hastaneleri</t>
        </is>
      </c>
      <c r="B75" t="inlineStr">
        <is>
          <t>Hastane (Kurumsal)</t>
        </is>
      </c>
      <c r="C75" t="inlineStr">
        <is>
          <t>Lead Toplama (Form)</t>
        </is>
      </c>
      <c r="D75" t="n">
        <v>3672.62</v>
      </c>
    </row>
    <row r="76">
      <c r="A76" t="inlineStr">
        <is>
          <t>Doruk Hastaneleri</t>
        </is>
      </c>
      <c r="B76" t="inlineStr">
        <is>
          <t>Hastane (Kurumsal)</t>
        </is>
      </c>
      <c r="C76" t="inlineStr">
        <is>
          <t>Instagram Öne Çıkarma</t>
        </is>
      </c>
      <c r="D76" t="n">
        <v>3652.58</v>
      </c>
    </row>
    <row r="77">
      <c r="A77" t="inlineStr">
        <is>
          <t>Doruk Hastaneleri</t>
        </is>
      </c>
      <c r="B77" t="inlineStr">
        <is>
          <t>Hastane (Kurumsal)</t>
        </is>
      </c>
      <c r="C77" t="inlineStr">
        <is>
          <t>Lead Toplama (Form)</t>
        </is>
      </c>
      <c r="D77" t="n">
        <v>3644.9</v>
      </c>
    </row>
    <row r="78">
      <c r="A78" t="inlineStr">
        <is>
          <t>Doruk Hastaneleri</t>
        </is>
      </c>
      <c r="B78" t="inlineStr">
        <is>
          <t>Hastane (Kurumsal)</t>
        </is>
      </c>
      <c r="C78" t="inlineStr">
        <is>
          <t>Instagram Öne Çıkarma</t>
        </is>
      </c>
      <c r="D78" t="n">
        <v>3542.02</v>
      </c>
    </row>
    <row r="79">
      <c r="A79" t="inlineStr">
        <is>
          <t>Doruk Hastaneleri</t>
        </is>
      </c>
      <c r="B79" t="inlineStr">
        <is>
          <t>Hastane (Kurumsal)</t>
        </is>
      </c>
      <c r="C79" t="inlineStr">
        <is>
          <t>Instagram Öne Çıkarma</t>
        </is>
      </c>
      <c r="D79" t="n">
        <v>3451.9</v>
      </c>
    </row>
    <row r="80">
      <c r="A80" t="inlineStr">
        <is>
          <t>Doruk Hastaneleri</t>
        </is>
      </c>
      <c r="B80" t="inlineStr">
        <is>
          <t>Hastane (Kurumsal)</t>
        </is>
      </c>
      <c r="C80" t="inlineStr">
        <is>
          <t>Marka Bilinirliği (Erişim)</t>
        </is>
      </c>
      <c r="D80" t="n">
        <v>3446.44</v>
      </c>
    </row>
    <row r="81">
      <c r="A81" t="inlineStr">
        <is>
          <t>Doruk Hastaneleri</t>
        </is>
      </c>
      <c r="B81" t="inlineStr">
        <is>
          <t>Hastane (Kurumsal)</t>
        </is>
      </c>
      <c r="C81" t="inlineStr">
        <is>
          <t>Lead Toplama (Form)</t>
        </is>
      </c>
      <c r="D81" t="n">
        <v>3416.62</v>
      </c>
    </row>
    <row r="82">
      <c r="A82" t="inlineStr">
        <is>
          <t>Doruk Estetik &amp; Saç Ekimi</t>
        </is>
      </c>
      <c r="B82" t="inlineStr">
        <is>
          <t>Estetik Marka</t>
        </is>
      </c>
      <c r="C82" t="inlineStr">
        <is>
          <t>Lead Toplama (Form)</t>
        </is>
      </c>
      <c r="D82" t="n">
        <v>3406.22</v>
      </c>
    </row>
    <row r="83">
      <c r="A83" t="inlineStr">
        <is>
          <t>Doruk Estetik &amp; Saç Ekimi</t>
        </is>
      </c>
      <c r="B83" t="inlineStr">
        <is>
          <t>Estetik Marka</t>
        </is>
      </c>
      <c r="C83" t="inlineStr">
        <is>
          <t>Lead Toplama (Form)</t>
        </is>
      </c>
      <c r="D83" t="n">
        <v>3399.56</v>
      </c>
    </row>
    <row r="84">
      <c r="A84" t="inlineStr">
        <is>
          <t>Doruk Hastaneleri</t>
        </is>
      </c>
      <c r="B84" t="inlineStr">
        <is>
          <t>Hastane (Kurumsal)</t>
        </is>
      </c>
      <c r="C84" t="inlineStr">
        <is>
          <t>Instagram Öne Çıkarma</t>
        </is>
      </c>
      <c r="D84" t="n">
        <v>3372.85</v>
      </c>
    </row>
    <row r="85">
      <c r="A85" t="inlineStr">
        <is>
          <t>Doruk Hastaneleri</t>
        </is>
      </c>
      <c r="B85" t="inlineStr">
        <is>
          <t>Hastane (Kurumsal)</t>
        </is>
      </c>
      <c r="C85" t="inlineStr">
        <is>
          <t>Marka Bilinirliği (Erişim)</t>
        </is>
      </c>
      <c r="D85" t="n">
        <v>3356.44</v>
      </c>
    </row>
    <row r="86">
      <c r="A86" t="inlineStr">
        <is>
          <t>Doruk Hastaneleri</t>
        </is>
      </c>
      <c r="B86" t="inlineStr">
        <is>
          <t>Hastane (Kurumsal)</t>
        </is>
      </c>
      <c r="C86" t="inlineStr">
        <is>
          <t>Instagram Öne Çıkarma</t>
        </is>
      </c>
      <c r="D86" t="n">
        <v>3337.8</v>
      </c>
    </row>
    <row r="87">
      <c r="A87" t="inlineStr">
        <is>
          <t>Doruk Hastaneleri</t>
        </is>
      </c>
      <c r="B87" t="inlineStr">
        <is>
          <t>Hastane (Kurumsal)</t>
        </is>
      </c>
      <c r="C87" t="inlineStr">
        <is>
          <t>Instagram Öne Çıkarma</t>
        </is>
      </c>
      <c r="D87" t="n">
        <v>3192.47</v>
      </c>
    </row>
    <row r="88">
      <c r="A88" t="inlineStr">
        <is>
          <t>Doruk Hastaneleri</t>
        </is>
      </c>
      <c r="B88" t="inlineStr">
        <is>
          <t>Hastane (Kurumsal)</t>
        </is>
      </c>
      <c r="C88" t="inlineStr">
        <is>
          <t>Marka Bilinirliği (Erişim)</t>
        </is>
      </c>
      <c r="D88" t="n">
        <v>3188.6</v>
      </c>
    </row>
    <row r="89">
      <c r="A89" t="inlineStr">
        <is>
          <t>Doruk Estetik &amp; Saç Ekimi</t>
        </is>
      </c>
      <c r="B89" t="inlineStr">
        <is>
          <t>Estetik Marka</t>
        </is>
      </c>
      <c r="C89" t="inlineStr">
        <is>
          <t>Lead Toplama (Form)</t>
        </is>
      </c>
      <c r="D89" t="n">
        <v>3175.63</v>
      </c>
    </row>
    <row r="90">
      <c r="A90" t="inlineStr">
        <is>
          <t>Doruk Estetik &amp; Saç Ekimi</t>
        </is>
      </c>
      <c r="B90" t="inlineStr">
        <is>
          <t>Estetik Marka</t>
        </is>
      </c>
      <c r="C90" t="inlineStr">
        <is>
          <t>Lead Toplama (Form)</t>
        </is>
      </c>
      <c r="D90" t="n">
        <v>3160.36</v>
      </c>
    </row>
    <row r="91">
      <c r="A91" t="inlineStr">
        <is>
          <t>Doruk Hastaneleri</t>
        </is>
      </c>
      <c r="B91" t="inlineStr">
        <is>
          <t>Hastane (Kurumsal)</t>
        </is>
      </c>
      <c r="C91" t="inlineStr">
        <is>
          <t>Marka Bilinirliği (Erişim)</t>
        </is>
      </c>
      <c r="D91" t="n">
        <v>3107.89</v>
      </c>
    </row>
    <row r="92">
      <c r="A92" t="inlineStr">
        <is>
          <t>Doruk Hastaneleri</t>
        </is>
      </c>
      <c r="B92" t="inlineStr">
        <is>
          <t>Hastane (Kurumsal)</t>
        </is>
      </c>
      <c r="C92" t="inlineStr">
        <is>
          <t>Instagram Öne Çıkarma</t>
        </is>
      </c>
      <c r="D92" t="n">
        <v>3073.8</v>
      </c>
    </row>
    <row r="93">
      <c r="A93" t="inlineStr">
        <is>
          <t>Doruk Hastaneleri</t>
        </is>
      </c>
      <c r="B93" t="inlineStr">
        <is>
          <t>Hastane (Kurumsal)</t>
        </is>
      </c>
      <c r="C93" t="inlineStr">
        <is>
          <t>Lead Toplama (Form)</t>
        </is>
      </c>
      <c r="D93" t="n">
        <v>3054.46</v>
      </c>
    </row>
    <row r="94">
      <c r="A94" t="inlineStr">
        <is>
          <t>Doruk Hastaneleri</t>
        </is>
      </c>
      <c r="B94" t="inlineStr">
        <is>
          <t>Hastane (Kurumsal)</t>
        </is>
      </c>
      <c r="C94" t="inlineStr">
        <is>
          <t>Instagram Öne Çıkarma</t>
        </is>
      </c>
      <c r="D94" t="n">
        <v>3012.72</v>
      </c>
    </row>
    <row r="95">
      <c r="A95" t="inlineStr">
        <is>
          <t>Doruk Hastaneleri</t>
        </is>
      </c>
      <c r="B95" t="inlineStr">
        <is>
          <t>Hastane (Kurumsal)</t>
        </is>
      </c>
      <c r="C95" t="inlineStr">
        <is>
          <t>Instagram Öne Çıkarma</t>
        </is>
      </c>
      <c r="D95" t="n">
        <v>2973.97</v>
      </c>
    </row>
    <row r="96">
      <c r="A96" t="inlineStr">
        <is>
          <t>Doruk Hastaneleri</t>
        </is>
      </c>
      <c r="B96" t="inlineStr">
        <is>
          <t>Hastane (Kurumsal)</t>
        </is>
      </c>
      <c r="C96" t="inlineStr">
        <is>
          <t>Lead Toplama (Form)</t>
        </is>
      </c>
      <c r="D96" t="n">
        <v>2951.52</v>
      </c>
    </row>
    <row r="97">
      <c r="A97" t="inlineStr">
        <is>
          <t>Doruk Hastaneleri</t>
        </is>
      </c>
      <c r="B97" t="inlineStr">
        <is>
          <t>Hastane (Kurumsal)</t>
        </is>
      </c>
      <c r="C97" t="inlineStr">
        <is>
          <t>Lead Toplama (Form)</t>
        </is>
      </c>
      <c r="D97" t="n">
        <v>2933.59</v>
      </c>
    </row>
    <row r="98">
      <c r="A98" t="inlineStr">
        <is>
          <t>Doruk Hastaneleri</t>
        </is>
      </c>
      <c r="B98" t="inlineStr">
        <is>
          <t>Hastane (Kurumsal)</t>
        </is>
      </c>
      <c r="C98" t="inlineStr">
        <is>
          <t>Instagram Öne Çıkarma</t>
        </is>
      </c>
      <c r="D98" t="n">
        <v>2896.72</v>
      </c>
    </row>
    <row r="99">
      <c r="A99" t="inlineStr">
        <is>
          <t>Doruk Estetik &amp; Saç Ekimi</t>
        </is>
      </c>
      <c r="B99" t="inlineStr">
        <is>
          <t>Estetik Marka</t>
        </is>
      </c>
      <c r="C99" t="inlineStr">
        <is>
          <t>Lead Toplama (Form)</t>
        </is>
      </c>
      <c r="D99" t="n">
        <v>2834.24</v>
      </c>
    </row>
    <row r="100">
      <c r="A100" t="inlineStr">
        <is>
          <t>Doruk Hastaneleri</t>
        </is>
      </c>
      <c r="B100" t="inlineStr">
        <is>
          <t>Hastane (Kurumsal)</t>
        </is>
      </c>
      <c r="C100" t="inlineStr">
        <is>
          <t>Instagram Öne Çıkarma</t>
        </is>
      </c>
      <c r="D100" t="n">
        <v>2810.28</v>
      </c>
    </row>
    <row r="101">
      <c r="A101" t="inlineStr">
        <is>
          <t>Doruk Hastaneleri</t>
        </is>
      </c>
      <c r="B101" t="inlineStr">
        <is>
          <t>Hastane (Kurumsal)</t>
        </is>
      </c>
      <c r="C101" t="inlineStr">
        <is>
          <t>Marka Bilinirliği (Erişim)</t>
        </is>
      </c>
      <c r="D101" t="n">
        <v>2797.49</v>
      </c>
    </row>
    <row r="102">
      <c r="A102" t="inlineStr">
        <is>
          <t>Doruk Hastaneleri</t>
        </is>
      </c>
      <c r="B102" t="inlineStr">
        <is>
          <t>Hastane (Kurumsal)</t>
        </is>
      </c>
      <c r="C102" t="inlineStr">
        <is>
          <t>Marka Bilinirliği (Erişim)</t>
        </is>
      </c>
      <c r="D102" t="n">
        <v>2775.26</v>
      </c>
    </row>
    <row r="103">
      <c r="A103" t="inlineStr">
        <is>
          <t>Doruk Estetik &amp; Saç Ekimi</t>
        </is>
      </c>
      <c r="B103" t="inlineStr">
        <is>
          <t>Estetik Marka</t>
        </is>
      </c>
      <c r="C103" t="inlineStr">
        <is>
          <t>Lead Toplama (Form)</t>
        </is>
      </c>
      <c r="D103" t="n">
        <v>2774.88</v>
      </c>
    </row>
    <row r="104">
      <c r="A104" t="inlineStr">
        <is>
          <t>Doruk Estetik &amp; Saç Ekimi</t>
        </is>
      </c>
      <c r="B104" t="inlineStr">
        <is>
          <t>Estetik Marka</t>
        </is>
      </c>
      <c r="C104" t="inlineStr">
        <is>
          <t>Lead Toplama (Form)</t>
        </is>
      </c>
      <c r="D104" t="n">
        <v>2759.89</v>
      </c>
    </row>
    <row r="105">
      <c r="A105" t="inlineStr">
        <is>
          <t>Doruk Hastaneleri</t>
        </is>
      </c>
      <c r="B105" t="inlineStr">
        <is>
          <t>Hastane (Kurumsal)</t>
        </is>
      </c>
      <c r="C105" t="inlineStr">
        <is>
          <t>Instagram Öne Çıkarma</t>
        </is>
      </c>
      <c r="D105" t="n">
        <v>2750.84</v>
      </c>
    </row>
    <row r="106">
      <c r="A106" t="inlineStr">
        <is>
          <t>Doruk Hastaneleri</t>
        </is>
      </c>
      <c r="B106" t="inlineStr">
        <is>
          <t>Hastane (Kurumsal)</t>
        </is>
      </c>
      <c r="C106" t="inlineStr">
        <is>
          <t>Instagram Öne Çıkarma</t>
        </is>
      </c>
      <c r="D106" t="n">
        <v>2736.43</v>
      </c>
    </row>
    <row r="107">
      <c r="A107" t="inlineStr">
        <is>
          <t>Doruk Estetik &amp; Saç Ekimi</t>
        </is>
      </c>
      <c r="B107" t="inlineStr">
        <is>
          <t>Estetik Marka</t>
        </is>
      </c>
      <c r="C107" t="inlineStr">
        <is>
          <t>Lead Toplama (Form)</t>
        </is>
      </c>
      <c r="D107" t="n">
        <v>2705.98</v>
      </c>
    </row>
    <row r="108">
      <c r="A108" t="inlineStr">
        <is>
          <t>Doruk Estetik &amp; Saç Ekimi</t>
        </is>
      </c>
      <c r="B108" t="inlineStr">
        <is>
          <t>Estetik Marka</t>
        </is>
      </c>
      <c r="C108" t="inlineStr">
        <is>
          <t>Lead Toplama (Form)</t>
        </is>
      </c>
      <c r="D108" t="n">
        <v>2666.55</v>
      </c>
    </row>
    <row r="109">
      <c r="A109" t="inlineStr">
        <is>
          <t>Doruk Hastaneleri</t>
        </is>
      </c>
      <c r="B109" t="inlineStr">
        <is>
          <t>Hastane (Kurumsal)</t>
        </is>
      </c>
      <c r="C109" t="inlineStr">
        <is>
          <t>Instagram Öne Çıkarma</t>
        </is>
      </c>
      <c r="D109" t="n">
        <v>2663.78</v>
      </c>
    </row>
    <row r="110">
      <c r="A110" t="inlineStr">
        <is>
          <t>Doruk Hastaneleri</t>
        </is>
      </c>
      <c r="B110" t="inlineStr">
        <is>
          <t>Hastane (Kurumsal)</t>
        </is>
      </c>
      <c r="C110" t="inlineStr">
        <is>
          <t>Marka Bilinirliği (Erişim)</t>
        </is>
      </c>
      <c r="D110" t="n">
        <v>2655.96</v>
      </c>
    </row>
    <row r="111">
      <c r="A111" t="inlineStr">
        <is>
          <t>Doruk Hastaneleri</t>
        </is>
      </c>
      <c r="B111" t="inlineStr">
        <is>
          <t>Hastane (Kurumsal)</t>
        </is>
      </c>
      <c r="C111" t="inlineStr">
        <is>
          <t>Marka Bilinirliği (Erişim)</t>
        </is>
      </c>
      <c r="D111" t="n">
        <v>2605.82</v>
      </c>
    </row>
    <row r="112">
      <c r="A112" t="inlineStr">
        <is>
          <t>Doruk Estetik &amp; Saç Ekimi</t>
        </is>
      </c>
      <c r="B112" t="inlineStr">
        <is>
          <t>Estetik Marka</t>
        </is>
      </c>
      <c r="C112" t="inlineStr">
        <is>
          <t>Lead Toplama (Form)</t>
        </is>
      </c>
      <c r="D112" t="n">
        <v>2574.58</v>
      </c>
    </row>
    <row r="113">
      <c r="A113" t="inlineStr">
        <is>
          <t>Doruk Hastaneleri</t>
        </is>
      </c>
      <c r="B113" t="inlineStr">
        <is>
          <t>Hastane (Kurumsal)</t>
        </is>
      </c>
      <c r="C113" t="inlineStr">
        <is>
          <t>Lead Toplama (Form)</t>
        </is>
      </c>
      <c r="D113" t="n">
        <v>2574.37</v>
      </c>
    </row>
    <row r="114">
      <c r="A114" t="inlineStr">
        <is>
          <t>Doruk Hastaneleri</t>
        </is>
      </c>
      <c r="B114" t="inlineStr">
        <is>
          <t>Hastane (Kurumsal)</t>
        </is>
      </c>
      <c r="C114" t="inlineStr">
        <is>
          <t>Marka Bilinirliği (Erişim)</t>
        </is>
      </c>
      <c r="D114" t="n">
        <v>2497.92</v>
      </c>
    </row>
    <row r="115">
      <c r="A115" t="inlineStr">
        <is>
          <t>Doruk Estetik &amp; Saç Ekimi</t>
        </is>
      </c>
      <c r="B115" t="inlineStr">
        <is>
          <t>Estetik Marka</t>
        </is>
      </c>
      <c r="C115" t="inlineStr">
        <is>
          <t>Lead Toplama (Form)</t>
        </is>
      </c>
      <c r="D115" t="n">
        <v>2480.41</v>
      </c>
    </row>
    <row r="116">
      <c r="A116" t="inlineStr">
        <is>
          <t>Doruk Hastaneleri</t>
        </is>
      </c>
      <c r="B116" t="inlineStr">
        <is>
          <t>Hastane (Kurumsal)</t>
        </is>
      </c>
      <c r="C116" t="inlineStr">
        <is>
          <t>Instagram Öne Çıkarma</t>
        </is>
      </c>
      <c r="D116" t="n">
        <v>2455.02</v>
      </c>
    </row>
    <row r="117">
      <c r="A117" t="inlineStr">
        <is>
          <t>Doruk Hastaneleri</t>
        </is>
      </c>
      <c r="B117" t="inlineStr">
        <is>
          <t>Hastane (Kurumsal)</t>
        </is>
      </c>
      <c r="C117" t="inlineStr">
        <is>
          <t>Lead Toplama (Form)</t>
        </is>
      </c>
      <c r="D117" t="n">
        <v>2399.94</v>
      </c>
    </row>
    <row r="118">
      <c r="A118" t="inlineStr">
        <is>
          <t>Doruk Hastaneleri</t>
        </is>
      </c>
      <c r="B118" t="inlineStr">
        <is>
          <t>Hastane (Kurumsal)</t>
        </is>
      </c>
      <c r="C118" t="inlineStr">
        <is>
          <t>Marka Bilinirliği (Erişim)</t>
        </is>
      </c>
      <c r="D118" t="n">
        <v>2391.07</v>
      </c>
    </row>
    <row r="119">
      <c r="A119" t="inlineStr">
        <is>
          <t>Doruk Estetik &amp; Saç Ekimi</t>
        </is>
      </c>
      <c r="B119" t="inlineStr">
        <is>
          <t>Estetik Marka</t>
        </is>
      </c>
      <c r="C119" t="inlineStr">
        <is>
          <t>Lead Toplama (Form)</t>
        </is>
      </c>
      <c r="D119" t="n">
        <v>2388.1</v>
      </c>
    </row>
    <row r="120">
      <c r="A120" t="inlineStr">
        <is>
          <t>Doruk Hastaneleri</t>
        </is>
      </c>
      <c r="B120" t="inlineStr">
        <is>
          <t>Hastane (Kurumsal)</t>
        </is>
      </c>
      <c r="C120" t="inlineStr">
        <is>
          <t>Instagram Öne Çıkarma</t>
        </is>
      </c>
      <c r="D120" t="n">
        <v>2374.15</v>
      </c>
    </row>
    <row r="121">
      <c r="A121" t="inlineStr">
        <is>
          <t>Doruk Estetik &amp; Saç Ekimi</t>
        </is>
      </c>
      <c r="B121" t="inlineStr">
        <is>
          <t>Estetik Marka</t>
        </is>
      </c>
      <c r="C121" t="inlineStr">
        <is>
          <t>Lead Toplama (Form)</t>
        </is>
      </c>
      <c r="D121" t="n">
        <v>2364.73</v>
      </c>
    </row>
    <row r="122">
      <c r="A122" t="inlineStr">
        <is>
          <t>Doruk Hastaneleri</t>
        </is>
      </c>
      <c r="B122" t="inlineStr">
        <is>
          <t>Hastane (Kurumsal)</t>
        </is>
      </c>
      <c r="C122" t="inlineStr">
        <is>
          <t>Marka Bilinirliği (Erişim)</t>
        </is>
      </c>
      <c r="D122" t="n">
        <v>2328.17</v>
      </c>
    </row>
    <row r="123">
      <c r="A123" t="inlineStr">
        <is>
          <t>Doruk Hastaneleri</t>
        </is>
      </c>
      <c r="B123" t="inlineStr">
        <is>
          <t>Hastane (Kurumsal)</t>
        </is>
      </c>
      <c r="C123" t="inlineStr">
        <is>
          <t>Instagram Öne Çıkarma</t>
        </is>
      </c>
      <c r="D123" t="n">
        <v>2298.04</v>
      </c>
    </row>
    <row r="124">
      <c r="A124" t="inlineStr">
        <is>
          <t>Doruk Hastaneleri</t>
        </is>
      </c>
      <c r="B124" t="inlineStr">
        <is>
          <t>Hastane (Kurumsal)</t>
        </is>
      </c>
      <c r="C124" t="inlineStr">
        <is>
          <t>Marka Bilinirliği (Erişim)</t>
        </is>
      </c>
      <c r="D124" t="n">
        <v>2269.08</v>
      </c>
    </row>
    <row r="125">
      <c r="A125" t="inlineStr">
        <is>
          <t>Doruk Hastaneleri</t>
        </is>
      </c>
      <c r="B125" t="inlineStr">
        <is>
          <t>Hastane (Kurumsal)</t>
        </is>
      </c>
      <c r="C125" t="inlineStr">
        <is>
          <t>Instagram Öne Çıkarma</t>
        </is>
      </c>
      <c r="D125" t="n">
        <v>2263.35</v>
      </c>
    </row>
    <row r="126">
      <c r="A126" t="inlineStr">
        <is>
          <t>Doruk Hastaneleri</t>
        </is>
      </c>
      <c r="B126" t="inlineStr">
        <is>
          <t>Hastane (Kurumsal)</t>
        </is>
      </c>
      <c r="C126" t="inlineStr">
        <is>
          <t>Lead Toplama (Form)</t>
        </is>
      </c>
      <c r="D126" t="n">
        <v>2247.28</v>
      </c>
    </row>
    <row r="127">
      <c r="A127" t="inlineStr">
        <is>
          <t>Doruk Hastaneleri</t>
        </is>
      </c>
      <c r="B127" t="inlineStr">
        <is>
          <t>Hastane (Kurumsal)</t>
        </is>
      </c>
      <c r="C127" t="inlineStr">
        <is>
          <t>Marka Bilinirliği (Erişim)</t>
        </is>
      </c>
      <c r="D127" t="n">
        <v>2242.3</v>
      </c>
    </row>
    <row r="128">
      <c r="A128" t="inlineStr">
        <is>
          <t>Doruk Hastaneleri</t>
        </is>
      </c>
      <c r="B128" t="inlineStr">
        <is>
          <t>Hastane (Kurumsal)</t>
        </is>
      </c>
      <c r="C128" t="inlineStr">
        <is>
          <t>Marka Bilinirliği (Erişim)</t>
        </is>
      </c>
      <c r="D128" t="n">
        <v>2241.4</v>
      </c>
    </row>
    <row r="129">
      <c r="A129" t="inlineStr">
        <is>
          <t>Doruk Hastaneleri</t>
        </is>
      </c>
      <c r="B129" t="inlineStr">
        <is>
          <t>Hastane (Kurumsal)</t>
        </is>
      </c>
      <c r="C129" t="inlineStr">
        <is>
          <t>Instagram Öne Çıkarma</t>
        </is>
      </c>
      <c r="D129" t="n">
        <v>2220.32</v>
      </c>
    </row>
    <row r="130">
      <c r="A130" t="inlineStr">
        <is>
          <t>Doruk Estetik &amp; Saç Ekimi</t>
        </is>
      </c>
      <c r="B130" t="inlineStr">
        <is>
          <t>Estetik Marka</t>
        </is>
      </c>
      <c r="C130" t="inlineStr">
        <is>
          <t>Lead Toplama (Form)</t>
        </is>
      </c>
      <c r="D130" t="n">
        <v>2188.94</v>
      </c>
    </row>
    <row r="131">
      <c r="A131" t="inlineStr">
        <is>
          <t>Doruk Hastaneleri</t>
        </is>
      </c>
      <c r="B131" t="inlineStr">
        <is>
          <t>Hastane (Kurumsal)</t>
        </is>
      </c>
      <c r="C131" t="inlineStr">
        <is>
          <t>Instagram Öne Çıkarma</t>
        </is>
      </c>
      <c r="D131" t="n">
        <v>2148.93</v>
      </c>
    </row>
    <row r="132">
      <c r="A132" t="inlineStr">
        <is>
          <t>Doruk Hastaneleri</t>
        </is>
      </c>
      <c r="B132" t="inlineStr">
        <is>
          <t>Hastane (Kurumsal)</t>
        </is>
      </c>
      <c r="C132" t="inlineStr">
        <is>
          <t>Marka Bilinirliği (Erişim)</t>
        </is>
      </c>
      <c r="D132" t="n">
        <v>2137.07</v>
      </c>
    </row>
    <row r="133">
      <c r="A133" t="inlineStr">
        <is>
          <t>Doruk Estetik &amp; Saç Ekimi</t>
        </is>
      </c>
      <c r="B133" t="inlineStr">
        <is>
          <t>Estetik Marka</t>
        </is>
      </c>
      <c r="C133" t="inlineStr">
        <is>
          <t>Lead Toplama (Form)</t>
        </is>
      </c>
      <c r="D133" t="n">
        <v>2043.81</v>
      </c>
    </row>
    <row r="134">
      <c r="A134" t="inlineStr">
        <is>
          <t>Doruk Hastaneleri</t>
        </is>
      </c>
      <c r="B134" t="inlineStr">
        <is>
          <t>Hastane (Kurumsal)</t>
        </is>
      </c>
      <c r="C134" t="inlineStr">
        <is>
          <t>Marka Bilinirliği (Erişim)</t>
        </is>
      </c>
      <c r="D134" t="n">
        <v>2011.91</v>
      </c>
    </row>
    <row r="135">
      <c r="A135" t="inlineStr">
        <is>
          <t>Doruk Hastaneleri</t>
        </is>
      </c>
      <c r="B135" t="inlineStr">
        <is>
          <t>Hastane (Kurumsal)</t>
        </is>
      </c>
      <c r="C135" t="inlineStr">
        <is>
          <t>Instagram Öne Çıkarma</t>
        </is>
      </c>
      <c r="D135" t="n">
        <v>1997.1</v>
      </c>
    </row>
    <row r="136">
      <c r="A136" t="inlineStr">
        <is>
          <t>Doruk Hastaneleri</t>
        </is>
      </c>
      <c r="B136" t="inlineStr">
        <is>
          <t>Hastane (Kurumsal)</t>
        </is>
      </c>
      <c r="C136" t="inlineStr">
        <is>
          <t>Marka Bilinirliği (Erişim)</t>
        </is>
      </c>
      <c r="D136" t="n">
        <v>1968.09</v>
      </c>
    </row>
    <row r="137">
      <c r="A137" t="inlineStr">
        <is>
          <t>Doruk Estetik &amp; Saç Ekimi</t>
        </is>
      </c>
      <c r="B137" t="inlineStr">
        <is>
          <t>Estetik Marka</t>
        </is>
      </c>
      <c r="C137" t="inlineStr">
        <is>
          <t>Lead Toplama (Form)</t>
        </is>
      </c>
      <c r="D137" t="n">
        <v>1950.24</v>
      </c>
    </row>
    <row r="138">
      <c r="A138" t="inlineStr">
        <is>
          <t>Doruk Estetik &amp; Saç Ekimi</t>
        </is>
      </c>
      <c r="B138" t="inlineStr">
        <is>
          <t>Estetik Marka</t>
        </is>
      </c>
      <c r="C138" t="inlineStr">
        <is>
          <t>Lead Toplama (Form)</t>
        </is>
      </c>
      <c r="D138" t="n">
        <v>1915.96</v>
      </c>
    </row>
    <row r="139">
      <c r="A139" t="inlineStr">
        <is>
          <t>Doruk Hastaneleri</t>
        </is>
      </c>
      <c r="B139" t="inlineStr">
        <is>
          <t>Hastane (Kurumsal)</t>
        </is>
      </c>
      <c r="C139" t="inlineStr">
        <is>
          <t>Marka Bilinirliği (Erişim)</t>
        </is>
      </c>
      <c r="D139" t="n">
        <v>1908.43</v>
      </c>
    </row>
    <row r="140">
      <c r="A140" t="inlineStr">
        <is>
          <t>Doruk Hastaneleri</t>
        </is>
      </c>
      <c r="B140" t="inlineStr">
        <is>
          <t>Hastane (Kurumsal)</t>
        </is>
      </c>
      <c r="C140" t="inlineStr">
        <is>
          <t>Marka Bilinirliği (Erişim)</t>
        </is>
      </c>
      <c r="D140" t="n">
        <v>1897.98</v>
      </c>
    </row>
    <row r="141">
      <c r="A141" t="inlineStr">
        <is>
          <t>Doruk Hastaneleri</t>
        </is>
      </c>
      <c r="B141" t="inlineStr">
        <is>
          <t>Hastane (Kurumsal)</t>
        </is>
      </c>
      <c r="C141" t="inlineStr">
        <is>
          <t>Marka Bilinirliği (Erişim)</t>
        </is>
      </c>
      <c r="D141" t="n">
        <v>1871.14</v>
      </c>
    </row>
    <row r="142">
      <c r="A142" t="inlineStr">
        <is>
          <t>Doruk Hastaneleri</t>
        </is>
      </c>
      <c r="B142" t="inlineStr">
        <is>
          <t>Hastane (Kurumsal)</t>
        </is>
      </c>
      <c r="C142" t="inlineStr">
        <is>
          <t>Lead Toplama (Form)</t>
        </is>
      </c>
      <c r="D142" t="n">
        <v>1856.63</v>
      </c>
    </row>
    <row r="143">
      <c r="A143" t="inlineStr">
        <is>
          <t>Doruk Hastaneleri</t>
        </is>
      </c>
      <c r="B143" t="inlineStr">
        <is>
          <t>Hastane (Kurumsal)</t>
        </is>
      </c>
      <c r="C143" t="inlineStr">
        <is>
          <t>Marka Bilinirliği (Erişim)</t>
        </is>
      </c>
      <c r="D143" t="n">
        <v>1801.4</v>
      </c>
    </row>
    <row r="144">
      <c r="A144" t="inlineStr">
        <is>
          <t>Doruk Estetik &amp; Saç Ekimi</t>
        </is>
      </c>
      <c r="B144" t="inlineStr">
        <is>
          <t>Estetik Marka</t>
        </is>
      </c>
      <c r="C144" t="inlineStr">
        <is>
          <t>Lead Toplama (Form)</t>
        </is>
      </c>
      <c r="D144" t="n">
        <v>1752.65</v>
      </c>
    </row>
    <row r="145">
      <c r="A145" t="inlineStr">
        <is>
          <t>Doruk Hastaneleri</t>
        </is>
      </c>
      <c r="B145" t="inlineStr">
        <is>
          <t>Hastane (Kurumsal)</t>
        </is>
      </c>
      <c r="C145" t="inlineStr">
        <is>
          <t>Lead Toplama (Form)</t>
        </is>
      </c>
      <c r="D145" t="n">
        <v>1728.43</v>
      </c>
    </row>
    <row r="146">
      <c r="A146" t="inlineStr">
        <is>
          <t>Doruk Hastaneleri</t>
        </is>
      </c>
      <c r="B146" t="inlineStr">
        <is>
          <t>Hastane (Kurumsal)</t>
        </is>
      </c>
      <c r="C146" t="inlineStr">
        <is>
          <t>Lead Toplama (Form)</t>
        </is>
      </c>
      <c r="D146" t="n">
        <v>1726.62</v>
      </c>
    </row>
    <row r="147">
      <c r="A147" t="inlineStr">
        <is>
          <t>Doruk Hastaneleri</t>
        </is>
      </c>
      <c r="B147" t="inlineStr">
        <is>
          <t>Hastane (Kurumsal)</t>
        </is>
      </c>
      <c r="C147" t="inlineStr">
        <is>
          <t>Marka Bilinirliği (Erişim)</t>
        </is>
      </c>
      <c r="D147" t="n">
        <v>1722.42</v>
      </c>
    </row>
    <row r="148">
      <c r="A148" t="inlineStr">
        <is>
          <t>Doruk Hastaneleri</t>
        </is>
      </c>
      <c r="B148" t="inlineStr">
        <is>
          <t>Hastane (Kurumsal)</t>
        </is>
      </c>
      <c r="C148" t="inlineStr">
        <is>
          <t>Lead Toplama (Form)</t>
        </is>
      </c>
      <c r="D148" t="n">
        <v>1720.24</v>
      </c>
    </row>
    <row r="149">
      <c r="A149" t="inlineStr">
        <is>
          <t>Doruk Hastaneleri</t>
        </is>
      </c>
      <c r="B149" t="inlineStr">
        <is>
          <t>Hastane (Kurumsal)</t>
        </is>
      </c>
      <c r="C149" t="inlineStr">
        <is>
          <t>Marka Bilinirliği (Erişim)</t>
        </is>
      </c>
      <c r="D149" t="n">
        <v>1716.48</v>
      </c>
    </row>
    <row r="150">
      <c r="A150" t="inlineStr">
        <is>
          <t>Doruk Hastaneleri</t>
        </is>
      </c>
      <c r="B150" t="inlineStr">
        <is>
          <t>Hastane (Kurumsal)</t>
        </is>
      </c>
      <c r="C150" t="inlineStr">
        <is>
          <t>Instagram Öne Çıkarma</t>
        </is>
      </c>
      <c r="D150" t="n">
        <v>1676.78</v>
      </c>
    </row>
    <row r="151">
      <c r="A151" t="inlineStr">
        <is>
          <t>Doruk Hastaneleri</t>
        </is>
      </c>
      <c r="B151" t="inlineStr">
        <is>
          <t>Hastane (Kurumsal)</t>
        </is>
      </c>
      <c r="C151" t="inlineStr">
        <is>
          <t>Marka Bilinirliği (Erişim)</t>
        </is>
      </c>
      <c r="D151" t="n">
        <v>1622.9</v>
      </c>
    </row>
    <row r="152">
      <c r="A152" t="inlineStr">
        <is>
          <t>Doruk Hastaneleri</t>
        </is>
      </c>
      <c r="B152" t="inlineStr">
        <is>
          <t>Hastane (Kurumsal)</t>
        </is>
      </c>
      <c r="C152" t="inlineStr">
        <is>
          <t>Lead Toplama (Form)</t>
        </is>
      </c>
      <c r="D152" t="n">
        <v>1605.88</v>
      </c>
    </row>
    <row r="153">
      <c r="A153" t="inlineStr">
        <is>
          <t>Doruk Hastaneleri</t>
        </is>
      </c>
      <c r="B153" t="inlineStr">
        <is>
          <t>Hastane (Kurumsal)</t>
        </is>
      </c>
      <c r="C153" t="inlineStr">
        <is>
          <t>Lead Toplama (Form)</t>
        </is>
      </c>
      <c r="D153" t="n">
        <v>1565.73</v>
      </c>
    </row>
    <row r="154">
      <c r="A154" t="inlineStr">
        <is>
          <t>Doruk Hastaneleri</t>
        </is>
      </c>
      <c r="B154" t="inlineStr">
        <is>
          <t>Hastane (Kurumsal)</t>
        </is>
      </c>
      <c r="C154" t="inlineStr">
        <is>
          <t>Marka Bilinirliği (Erişim)</t>
        </is>
      </c>
      <c r="D154" t="n">
        <v>1563.95</v>
      </c>
    </row>
    <row r="155">
      <c r="A155" t="inlineStr">
        <is>
          <t>Doruk Hastaneleri</t>
        </is>
      </c>
      <c r="B155" t="inlineStr">
        <is>
          <t>Hastane (Kurumsal)</t>
        </is>
      </c>
      <c r="C155" t="inlineStr">
        <is>
          <t>Marka Bilinirliği (Erişim)</t>
        </is>
      </c>
      <c r="D155" t="n">
        <v>1559.24</v>
      </c>
    </row>
    <row r="156">
      <c r="A156" t="inlineStr">
        <is>
          <t>Doruk Hastaneleri</t>
        </is>
      </c>
      <c r="B156" t="inlineStr">
        <is>
          <t>Hastane (Kurumsal)</t>
        </is>
      </c>
      <c r="C156" t="inlineStr">
        <is>
          <t>Lead Toplama (Form)</t>
        </is>
      </c>
      <c r="D156" t="n">
        <v>1543.52</v>
      </c>
    </row>
    <row r="157">
      <c r="A157" t="inlineStr">
        <is>
          <t>Op. Dr. Emre Çaycı</t>
        </is>
      </c>
      <c r="B157" t="inlineStr">
        <is>
          <t>Doktor Sayfaları</t>
        </is>
      </c>
      <c r="C157" t="inlineStr">
        <is>
          <t>Instagram Öne Çıkarma</t>
        </is>
      </c>
      <c r="D157" t="n">
        <v>1542.27</v>
      </c>
    </row>
    <row r="158">
      <c r="A158" t="inlineStr">
        <is>
          <t>Doruk Hastaneleri</t>
        </is>
      </c>
      <c r="B158" t="inlineStr">
        <is>
          <t>Hastane (Kurumsal)</t>
        </is>
      </c>
      <c r="C158" t="inlineStr">
        <is>
          <t>Lead Toplama (Form)</t>
        </is>
      </c>
      <c r="D158" t="n">
        <v>1522.71</v>
      </c>
    </row>
    <row r="159">
      <c r="A159" t="inlineStr">
        <is>
          <t>Doruk Estetik &amp; Saç Ekimi</t>
        </is>
      </c>
      <c r="B159" t="inlineStr">
        <is>
          <t>Estetik Marka</t>
        </is>
      </c>
      <c r="C159" t="inlineStr">
        <is>
          <t>Lead Toplama (Form)</t>
        </is>
      </c>
      <c r="D159" t="n">
        <v>1513.14</v>
      </c>
    </row>
    <row r="160">
      <c r="A160" t="inlineStr">
        <is>
          <t>Doruk Hastaneleri</t>
        </is>
      </c>
      <c r="B160" t="inlineStr">
        <is>
          <t>Hastane (Kurumsal)</t>
        </is>
      </c>
      <c r="C160" t="inlineStr">
        <is>
          <t>Marka Bilinirliği (Erişim)</t>
        </is>
      </c>
      <c r="D160" t="n">
        <v>1503.68</v>
      </c>
    </row>
    <row r="161">
      <c r="A161" t="inlineStr">
        <is>
          <t>Doruk Hastaneleri</t>
        </is>
      </c>
      <c r="B161" t="inlineStr">
        <is>
          <t>Hastane (Kurumsal)</t>
        </is>
      </c>
      <c r="C161" t="inlineStr">
        <is>
          <t>Marka Bilinirliği (Erişim)</t>
        </is>
      </c>
      <c r="D161" t="n">
        <v>1494.73</v>
      </c>
    </row>
    <row r="162">
      <c r="A162" t="inlineStr">
        <is>
          <t>Doruk Hastaneleri</t>
        </is>
      </c>
      <c r="B162" t="inlineStr">
        <is>
          <t>Hastane (Kurumsal)</t>
        </is>
      </c>
      <c r="C162" t="inlineStr">
        <is>
          <t>Lead Toplama (Form)</t>
        </is>
      </c>
      <c r="D162" t="n">
        <v>1460.15</v>
      </c>
    </row>
    <row r="163">
      <c r="A163" t="inlineStr">
        <is>
          <t>Doruk Hastaneleri</t>
        </is>
      </c>
      <c r="B163" t="inlineStr">
        <is>
          <t>Hastane (Kurumsal)</t>
        </is>
      </c>
      <c r="C163" t="inlineStr">
        <is>
          <t>Lead Toplama (Form)</t>
        </is>
      </c>
      <c r="D163" t="n">
        <v>1433.75</v>
      </c>
    </row>
    <row r="164">
      <c r="A164" t="inlineStr">
        <is>
          <t>Doruk Hastaneleri</t>
        </is>
      </c>
      <c r="B164" t="inlineStr">
        <is>
          <t>Hastane (Kurumsal)</t>
        </is>
      </c>
      <c r="C164" t="inlineStr">
        <is>
          <t>Marka Bilinirliği (Erişim)</t>
        </is>
      </c>
      <c r="D164" t="n">
        <v>1414.73</v>
      </c>
    </row>
    <row r="165">
      <c r="A165" t="inlineStr">
        <is>
          <t>Doruk Hastaneleri</t>
        </is>
      </c>
      <c r="B165" t="inlineStr">
        <is>
          <t>Hastane (Kurumsal)</t>
        </is>
      </c>
      <c r="C165" t="inlineStr">
        <is>
          <t>Marka Bilinirliği (Erişim)</t>
        </is>
      </c>
      <c r="D165" t="n">
        <v>1411.28</v>
      </c>
    </row>
    <row r="166">
      <c r="A166" t="inlineStr">
        <is>
          <t>Doruk Hastaneleri</t>
        </is>
      </c>
      <c r="B166" t="inlineStr">
        <is>
          <t>Hastane (Kurumsal)</t>
        </is>
      </c>
      <c r="C166" t="inlineStr">
        <is>
          <t>Marka Bilinirliği (Erişim)</t>
        </is>
      </c>
      <c r="D166" t="n">
        <v>1408.87</v>
      </c>
    </row>
    <row r="167">
      <c r="A167" t="inlineStr">
        <is>
          <t>Doruk Hastaneleri</t>
        </is>
      </c>
      <c r="B167" t="inlineStr">
        <is>
          <t>Hastane (Kurumsal)</t>
        </is>
      </c>
      <c r="C167" t="inlineStr">
        <is>
          <t>Marka Bilinirliği (Erişim)</t>
        </is>
      </c>
      <c r="D167" t="n">
        <v>1398.59</v>
      </c>
    </row>
    <row r="168">
      <c r="A168" t="inlineStr">
        <is>
          <t>Doruk Hastaneleri</t>
        </is>
      </c>
      <c r="B168" t="inlineStr">
        <is>
          <t>Hastane (Kurumsal)</t>
        </is>
      </c>
      <c r="C168" t="inlineStr">
        <is>
          <t>Lead Toplama (Form)</t>
        </is>
      </c>
      <c r="D168" t="n">
        <v>1395.43</v>
      </c>
    </row>
    <row r="169">
      <c r="A169" t="inlineStr">
        <is>
          <t>Doruk Estetik &amp; Saç Ekimi</t>
        </is>
      </c>
      <c r="B169" t="inlineStr">
        <is>
          <t>Estetik Marka</t>
        </is>
      </c>
      <c r="C169" t="inlineStr">
        <is>
          <t>Lead Toplama (Form)</t>
        </is>
      </c>
      <c r="D169" t="n">
        <v>1395.12</v>
      </c>
    </row>
    <row r="170">
      <c r="A170" t="inlineStr">
        <is>
          <t>Doruk Hastaneleri</t>
        </is>
      </c>
      <c r="B170" t="inlineStr">
        <is>
          <t>Hastane (Kurumsal)</t>
        </is>
      </c>
      <c r="C170" t="inlineStr">
        <is>
          <t>Lead Toplama (Form)</t>
        </is>
      </c>
      <c r="D170" t="n">
        <v>1382.26</v>
      </c>
    </row>
    <row r="171">
      <c r="A171" t="inlineStr">
        <is>
          <t>Doruk Hastaneleri</t>
        </is>
      </c>
      <c r="B171" t="inlineStr">
        <is>
          <t>Hastane (Kurumsal)</t>
        </is>
      </c>
      <c r="C171" t="inlineStr">
        <is>
          <t>Lead Toplama (Form)</t>
        </is>
      </c>
      <c r="D171" t="n">
        <v>1368.96</v>
      </c>
    </row>
    <row r="172">
      <c r="A172" t="inlineStr">
        <is>
          <t>Doruk Hastaneleri</t>
        </is>
      </c>
      <c r="B172" t="inlineStr">
        <is>
          <t>Hastane (Kurumsal)</t>
        </is>
      </c>
      <c r="C172" t="inlineStr">
        <is>
          <t>Lead Toplama (Form)</t>
        </is>
      </c>
      <c r="D172" t="n">
        <v>1363.84</v>
      </c>
    </row>
    <row r="173">
      <c r="A173" t="inlineStr">
        <is>
          <t>Doruk Hastaneleri</t>
        </is>
      </c>
      <c r="B173" t="inlineStr">
        <is>
          <t>Hastane (Kurumsal)</t>
        </is>
      </c>
      <c r="C173" t="inlineStr">
        <is>
          <t>Lead Toplama (Form)</t>
        </is>
      </c>
      <c r="D173" t="n">
        <v>1357.87</v>
      </c>
    </row>
    <row r="174">
      <c r="A174" t="inlineStr">
        <is>
          <t>Doruk Hastaneleri</t>
        </is>
      </c>
      <c r="B174" t="inlineStr">
        <is>
          <t>Hastane (Kurumsal)</t>
        </is>
      </c>
      <c r="C174" t="inlineStr">
        <is>
          <t>Lead Toplama (Form)</t>
        </is>
      </c>
      <c r="D174" t="n">
        <v>1351.89</v>
      </c>
    </row>
    <row r="175">
      <c r="A175" t="inlineStr">
        <is>
          <t>Doruk Hastaneleri</t>
        </is>
      </c>
      <c r="B175" t="inlineStr">
        <is>
          <t>Hastane (Kurumsal)</t>
        </is>
      </c>
      <c r="C175" t="inlineStr">
        <is>
          <t>Marka Bilinirliği (Erişim)</t>
        </is>
      </c>
      <c r="D175" t="n">
        <v>1333.5</v>
      </c>
    </row>
    <row r="176">
      <c r="A176" t="inlineStr">
        <is>
          <t>Doruk Hastaneleri</t>
        </is>
      </c>
      <c r="B176" t="inlineStr">
        <is>
          <t>Hastane (Kurumsal)</t>
        </is>
      </c>
      <c r="C176" t="inlineStr">
        <is>
          <t>Lead Toplama (Form)</t>
        </is>
      </c>
      <c r="D176" t="n">
        <v>1332.12</v>
      </c>
    </row>
    <row r="177">
      <c r="A177" t="inlineStr">
        <is>
          <t>Doruk Hastaneleri</t>
        </is>
      </c>
      <c r="B177" t="inlineStr">
        <is>
          <t>Hastane (Kurumsal)</t>
        </is>
      </c>
      <c r="C177" t="inlineStr">
        <is>
          <t>Lead Toplama (Form)</t>
        </is>
      </c>
      <c r="D177" t="n">
        <v>1305.08</v>
      </c>
    </row>
    <row r="178">
      <c r="A178" t="inlineStr">
        <is>
          <t>Op. Dr. Emre Çaycı</t>
        </is>
      </c>
      <c r="B178" t="inlineStr">
        <is>
          <t>Doktor Sayfaları</t>
        </is>
      </c>
      <c r="C178" t="inlineStr">
        <is>
          <t>Instagram Öne Çıkarma</t>
        </is>
      </c>
      <c r="D178" t="n">
        <v>1281.84</v>
      </c>
    </row>
    <row r="179">
      <c r="A179" t="inlineStr">
        <is>
          <t>Op. Dr. Emre Çaycı</t>
        </is>
      </c>
      <c r="B179" t="inlineStr">
        <is>
          <t>Doktor Sayfaları</t>
        </is>
      </c>
      <c r="C179" t="inlineStr">
        <is>
          <t>Instagram Öne Çıkarma</t>
        </is>
      </c>
      <c r="D179" t="n">
        <v>1281.69</v>
      </c>
    </row>
    <row r="180">
      <c r="A180" t="inlineStr">
        <is>
          <t>Doruk Hastaneleri</t>
        </is>
      </c>
      <c r="B180" t="inlineStr">
        <is>
          <t>Hastane (Kurumsal)</t>
        </is>
      </c>
      <c r="C180" t="inlineStr">
        <is>
          <t>Marka Bilinirliği (Erişim)</t>
        </is>
      </c>
      <c r="D180" t="n">
        <v>1280.72</v>
      </c>
    </row>
    <row r="181">
      <c r="A181" t="inlineStr">
        <is>
          <t>Doruk Hastaneleri</t>
        </is>
      </c>
      <c r="B181" t="inlineStr">
        <is>
          <t>Hastane (Kurumsal)</t>
        </is>
      </c>
      <c r="C181" t="inlineStr">
        <is>
          <t>Instagram Öne Çıkarma</t>
        </is>
      </c>
      <c r="D181" t="n">
        <v>1267.72</v>
      </c>
    </row>
    <row r="182">
      <c r="A182" t="inlineStr">
        <is>
          <t>Doruk Hastaneleri</t>
        </is>
      </c>
      <c r="B182" t="inlineStr">
        <is>
          <t>Hastane (Kurumsal)</t>
        </is>
      </c>
      <c r="C182" t="inlineStr">
        <is>
          <t>Lead Toplama (Form)</t>
        </is>
      </c>
      <c r="D182" t="n">
        <v>1266.37</v>
      </c>
    </row>
    <row r="183">
      <c r="A183" t="inlineStr">
        <is>
          <t>Op. Dr. Emre Çaycı</t>
        </is>
      </c>
      <c r="B183" t="inlineStr">
        <is>
          <t>Doktor Sayfaları</t>
        </is>
      </c>
      <c r="C183" t="inlineStr">
        <is>
          <t>Instagram Öne Çıkarma</t>
        </is>
      </c>
      <c r="D183" t="n">
        <v>1265.61</v>
      </c>
    </row>
    <row r="184">
      <c r="A184" t="inlineStr">
        <is>
          <t>Doruk Hastaneleri</t>
        </is>
      </c>
      <c r="B184" t="inlineStr">
        <is>
          <t>Hastane (Kurumsal)</t>
        </is>
      </c>
      <c r="C184" t="inlineStr">
        <is>
          <t>Instagram Öne Çıkarma</t>
        </is>
      </c>
      <c r="D184" t="n">
        <v>1264.45</v>
      </c>
    </row>
    <row r="185">
      <c r="A185" t="inlineStr">
        <is>
          <t>Op. Dr. Emre Çaycı</t>
        </is>
      </c>
      <c r="B185" t="inlineStr">
        <is>
          <t>Doktor Sayfaları</t>
        </is>
      </c>
      <c r="C185" t="inlineStr">
        <is>
          <t>Instagram Öne Çıkarma</t>
        </is>
      </c>
      <c r="D185" t="n">
        <v>1258.54</v>
      </c>
    </row>
    <row r="186">
      <c r="A186" t="inlineStr">
        <is>
          <t>Op.Dr. Eren Kaya</t>
        </is>
      </c>
      <c r="B186" t="inlineStr">
        <is>
          <t>Doktor Sayfaları</t>
        </is>
      </c>
      <c r="C186" t="inlineStr">
        <is>
          <t>Instagram Öne Çıkarma</t>
        </is>
      </c>
      <c r="D186" t="n">
        <v>1258.31</v>
      </c>
    </row>
    <row r="187">
      <c r="A187" t="inlineStr">
        <is>
          <t>Op.Dr. Abdullah ERTAŞ</t>
        </is>
      </c>
      <c r="B187" t="inlineStr">
        <is>
          <t>Doktor Sayfaları</t>
        </is>
      </c>
      <c r="C187" t="inlineStr">
        <is>
          <t>Instagram Öne Çıkarma</t>
        </is>
      </c>
      <c r="D187" t="n">
        <v>1253.68</v>
      </c>
    </row>
    <row r="188">
      <c r="A188" t="inlineStr">
        <is>
          <t>Doruk Hastaneleri</t>
        </is>
      </c>
      <c r="B188" t="inlineStr">
        <is>
          <t>Hastane (Kurumsal)</t>
        </is>
      </c>
      <c r="C188" t="inlineStr">
        <is>
          <t>Marka Bilinirliği (Erişim)</t>
        </is>
      </c>
      <c r="D188" t="n">
        <v>1252.95</v>
      </c>
    </row>
    <row r="189">
      <c r="A189" t="inlineStr">
        <is>
          <t>Op.Dr. Eren Kaya</t>
        </is>
      </c>
      <c r="B189" t="inlineStr">
        <is>
          <t>Doktor Sayfaları</t>
        </is>
      </c>
      <c r="C189" t="inlineStr">
        <is>
          <t>Instagram Öne Çıkarma</t>
        </is>
      </c>
      <c r="D189" t="n">
        <v>1250.66</v>
      </c>
    </row>
    <row r="190">
      <c r="A190" t="inlineStr">
        <is>
          <t>Doruk Hastaneleri</t>
        </is>
      </c>
      <c r="B190" t="inlineStr">
        <is>
          <t>Hastane (Kurumsal)</t>
        </is>
      </c>
      <c r="C190" t="inlineStr">
        <is>
          <t>Lead Toplama (Form)</t>
        </is>
      </c>
      <c r="D190" t="n">
        <v>1250.53</v>
      </c>
    </row>
    <row r="191">
      <c r="A191" t="inlineStr">
        <is>
          <t>Op.Dr. Abdullah ERTAŞ</t>
        </is>
      </c>
      <c r="B191" t="inlineStr">
        <is>
          <t>Doktor Sayfaları</t>
        </is>
      </c>
      <c r="C191" t="inlineStr">
        <is>
          <t>Instagram Öne Çıkarma</t>
        </is>
      </c>
      <c r="D191" t="n">
        <v>1240.71</v>
      </c>
    </row>
    <row r="192">
      <c r="A192" t="inlineStr">
        <is>
          <t>Doruk Hastaneleri</t>
        </is>
      </c>
      <c r="B192" t="inlineStr">
        <is>
          <t>Hastane (Kurumsal)</t>
        </is>
      </c>
      <c r="C192" t="inlineStr">
        <is>
          <t>Lead Toplama (Form)</t>
        </is>
      </c>
      <c r="D192" t="n">
        <v>1239.56</v>
      </c>
    </row>
    <row r="193">
      <c r="A193" t="inlineStr">
        <is>
          <t>Doruk Hastaneleri</t>
        </is>
      </c>
      <c r="B193" t="inlineStr">
        <is>
          <t>Hastane (Kurumsal)</t>
        </is>
      </c>
      <c r="C193" t="inlineStr">
        <is>
          <t>Lead Toplama (Form)</t>
        </is>
      </c>
      <c r="D193" t="n">
        <v>1233.42</v>
      </c>
    </row>
    <row r="194">
      <c r="A194" t="inlineStr">
        <is>
          <t>Doç.Dr. Selin Aktürk Esen</t>
        </is>
      </c>
      <c r="B194" t="inlineStr">
        <is>
          <t>Doktor Sayfaları</t>
        </is>
      </c>
      <c r="C194" t="inlineStr">
        <is>
          <t>Instagram Öne Çıkarma</t>
        </is>
      </c>
      <c r="D194" t="n">
        <v>1232.5</v>
      </c>
    </row>
    <row r="195">
      <c r="A195" t="inlineStr">
        <is>
          <t>Doruk Hastaneleri</t>
        </is>
      </c>
      <c r="B195" t="inlineStr">
        <is>
          <t>Hastane (Kurumsal)</t>
        </is>
      </c>
      <c r="C195" t="inlineStr">
        <is>
          <t>Lead Toplama (Form)</t>
        </is>
      </c>
      <c r="D195" t="n">
        <v>1214.89</v>
      </c>
    </row>
    <row r="196">
      <c r="A196" t="inlineStr">
        <is>
          <t>Doruk Hastaneleri</t>
        </is>
      </c>
      <c r="B196" t="inlineStr">
        <is>
          <t>Hastane (Kurumsal)</t>
        </is>
      </c>
      <c r="C196" t="inlineStr">
        <is>
          <t>Lead Toplama (Form)</t>
        </is>
      </c>
      <c r="D196" t="n">
        <v>1214.75</v>
      </c>
    </row>
    <row r="197">
      <c r="A197" t="inlineStr">
        <is>
          <t>Doruk Hastaneleri</t>
        </is>
      </c>
      <c r="B197" t="inlineStr">
        <is>
          <t>Hastane (Kurumsal)</t>
        </is>
      </c>
      <c r="C197" t="inlineStr">
        <is>
          <t>Marka Bilinirliği (Erişim)</t>
        </is>
      </c>
      <c r="D197" t="n">
        <v>1197.21</v>
      </c>
    </row>
    <row r="198">
      <c r="A198" t="inlineStr">
        <is>
          <t>Doruk Hastaneleri</t>
        </is>
      </c>
      <c r="B198" t="inlineStr">
        <is>
          <t>Hastane (Kurumsal)</t>
        </is>
      </c>
      <c r="C198" t="inlineStr">
        <is>
          <t>Lead Toplama (Form)</t>
        </is>
      </c>
      <c r="D198" t="n">
        <v>1193.3</v>
      </c>
    </row>
    <row r="199">
      <c r="A199" t="inlineStr">
        <is>
          <t>Doruk Hastaneleri</t>
        </is>
      </c>
      <c r="B199" t="inlineStr">
        <is>
          <t>Hastane (Kurumsal)</t>
        </is>
      </c>
      <c r="C199" t="inlineStr">
        <is>
          <t>Lead Toplama (Form)</t>
        </is>
      </c>
      <c r="D199" t="n">
        <v>1190.17</v>
      </c>
    </row>
    <row r="200">
      <c r="A200" t="inlineStr">
        <is>
          <t>Doruk Hastaneleri</t>
        </is>
      </c>
      <c r="B200" t="inlineStr">
        <is>
          <t>Hastane (Kurumsal)</t>
        </is>
      </c>
      <c r="C200" t="inlineStr">
        <is>
          <t>Lead Toplama (Form)</t>
        </is>
      </c>
      <c r="D200" t="n">
        <v>1181.48</v>
      </c>
    </row>
    <row r="201">
      <c r="A201" t="inlineStr">
        <is>
          <t>Doruk Hastaneleri</t>
        </is>
      </c>
      <c r="B201" t="inlineStr">
        <is>
          <t>Hastane (Kurumsal)</t>
        </is>
      </c>
      <c r="C201" t="inlineStr">
        <is>
          <t>Marka Bilinirliği (Erişim)</t>
        </is>
      </c>
      <c r="D201" t="n">
        <v>1179.06</v>
      </c>
    </row>
    <row r="202">
      <c r="A202" t="inlineStr">
        <is>
          <t>Doruk Hastaneleri</t>
        </is>
      </c>
      <c r="B202" t="inlineStr">
        <is>
          <t>Hastane (Kurumsal)</t>
        </is>
      </c>
      <c r="C202" t="inlineStr">
        <is>
          <t>Instagram Öne Çıkarma</t>
        </is>
      </c>
      <c r="D202" t="n">
        <v>1178.48</v>
      </c>
    </row>
    <row r="203">
      <c r="A203" t="inlineStr">
        <is>
          <t>Doruk Hastaneleri</t>
        </is>
      </c>
      <c r="B203" t="inlineStr">
        <is>
          <t>Hastane (Kurumsal)</t>
        </is>
      </c>
      <c r="C203" t="inlineStr">
        <is>
          <t>Lead Toplama (Form)</t>
        </is>
      </c>
      <c r="D203" t="n">
        <v>1173.95</v>
      </c>
    </row>
    <row r="204">
      <c r="A204" t="inlineStr">
        <is>
          <t>Doruk Hastaneleri</t>
        </is>
      </c>
      <c r="B204" t="inlineStr">
        <is>
          <t>Hastane (Kurumsal)</t>
        </is>
      </c>
      <c r="C204" t="inlineStr">
        <is>
          <t>Lead Toplama (Form)</t>
        </is>
      </c>
      <c r="D204" t="n">
        <v>1153.21</v>
      </c>
    </row>
    <row r="205">
      <c r="A205" t="inlineStr">
        <is>
          <t>Doruk Hastaneleri</t>
        </is>
      </c>
      <c r="B205" t="inlineStr">
        <is>
          <t>Hastane (Kurumsal)</t>
        </is>
      </c>
      <c r="C205" t="inlineStr">
        <is>
          <t>Instagram Öne Çıkarma</t>
        </is>
      </c>
      <c r="D205" t="n">
        <v>1149.79</v>
      </c>
    </row>
    <row r="206">
      <c r="A206" t="inlineStr">
        <is>
          <t>Doruk Hastaneleri</t>
        </is>
      </c>
      <c r="B206" t="inlineStr">
        <is>
          <t>Hastane (Kurumsal)</t>
        </is>
      </c>
      <c r="C206" t="inlineStr">
        <is>
          <t>Lead Toplama (Form)</t>
        </is>
      </c>
      <c r="D206" t="n">
        <v>1147.83</v>
      </c>
    </row>
    <row r="207">
      <c r="A207" t="inlineStr">
        <is>
          <t>Doruk Hastaneleri</t>
        </is>
      </c>
      <c r="B207" t="inlineStr">
        <is>
          <t>Hastane (Kurumsal)</t>
        </is>
      </c>
      <c r="C207" t="inlineStr">
        <is>
          <t>Lead Toplama (Form)</t>
        </is>
      </c>
      <c r="D207" t="n">
        <v>1144.57</v>
      </c>
    </row>
    <row r="208">
      <c r="A208" t="inlineStr">
        <is>
          <t>Doruk Hastaneleri</t>
        </is>
      </c>
      <c r="B208" t="inlineStr">
        <is>
          <t>Hastane (Kurumsal)</t>
        </is>
      </c>
      <c r="C208" t="inlineStr">
        <is>
          <t>Lead Toplama (Form)</t>
        </is>
      </c>
      <c r="D208" t="n">
        <v>1126.55</v>
      </c>
    </row>
    <row r="209">
      <c r="A209" t="inlineStr">
        <is>
          <t>Doruk Hastaneleri</t>
        </is>
      </c>
      <c r="B209" t="inlineStr">
        <is>
          <t>Hastane (Kurumsal)</t>
        </is>
      </c>
      <c r="C209" t="inlineStr">
        <is>
          <t>Lead Toplama (Form)</t>
        </is>
      </c>
      <c r="D209" t="n">
        <v>1124.46</v>
      </c>
    </row>
    <row r="210">
      <c r="A210" t="inlineStr">
        <is>
          <t>Doruk Hastaneleri</t>
        </is>
      </c>
      <c r="B210" t="inlineStr">
        <is>
          <t>Hastane (Kurumsal)</t>
        </is>
      </c>
      <c r="C210" t="inlineStr">
        <is>
          <t>Lead Toplama (Form)</t>
        </is>
      </c>
      <c r="D210" t="n">
        <v>1124.21</v>
      </c>
    </row>
    <row r="211">
      <c r="A211" t="inlineStr">
        <is>
          <t>Doruk Hastaneleri</t>
        </is>
      </c>
      <c r="B211" t="inlineStr">
        <is>
          <t>Hastane (Kurumsal)</t>
        </is>
      </c>
      <c r="C211" t="inlineStr">
        <is>
          <t>Lead Toplama (Form)</t>
        </is>
      </c>
      <c r="D211" t="n">
        <v>1124.11</v>
      </c>
    </row>
    <row r="212">
      <c r="A212" t="inlineStr">
        <is>
          <t>Doruk Hastaneleri</t>
        </is>
      </c>
      <c r="B212" t="inlineStr">
        <is>
          <t>Hastane (Kurumsal)</t>
        </is>
      </c>
      <c r="C212" t="inlineStr">
        <is>
          <t>Lead Toplama (Form)</t>
        </is>
      </c>
      <c r="D212" t="n">
        <v>1116.35</v>
      </c>
    </row>
    <row r="213">
      <c r="A213" t="inlineStr">
        <is>
          <t>Op.Dr. Abdullah ERTAŞ</t>
        </is>
      </c>
      <c r="B213" t="inlineStr">
        <is>
          <t>Doktor Sayfaları</t>
        </is>
      </c>
      <c r="C213" t="inlineStr">
        <is>
          <t>Instagram Öne Çıkarma</t>
        </is>
      </c>
      <c r="D213" t="n">
        <v>1098.92</v>
      </c>
    </row>
    <row r="214">
      <c r="A214" t="inlineStr">
        <is>
          <t>Doruk Hastaneleri</t>
        </is>
      </c>
      <c r="B214" t="inlineStr">
        <is>
          <t>Hastane (Kurumsal)</t>
        </is>
      </c>
      <c r="C214" t="inlineStr">
        <is>
          <t>Lead Toplama (Form)</t>
        </is>
      </c>
      <c r="D214" t="n">
        <v>1092.75</v>
      </c>
    </row>
    <row r="215">
      <c r="A215" t="inlineStr">
        <is>
          <t>Doruk Hastaneleri</t>
        </is>
      </c>
      <c r="B215" t="inlineStr">
        <is>
          <t>Hastane (Kurumsal)</t>
        </is>
      </c>
      <c r="C215" t="inlineStr">
        <is>
          <t>Lead Toplama (Form)</t>
        </is>
      </c>
      <c r="D215" t="n">
        <v>1090.83</v>
      </c>
    </row>
    <row r="216">
      <c r="A216" t="inlineStr">
        <is>
          <t>Doruk Hastaneleri</t>
        </is>
      </c>
      <c r="B216" t="inlineStr">
        <is>
          <t>Hastane (Kurumsal)</t>
        </is>
      </c>
      <c r="C216" t="inlineStr">
        <is>
          <t>Lead Toplama (Form)</t>
        </is>
      </c>
      <c r="D216" t="n">
        <v>1086.93</v>
      </c>
    </row>
    <row r="217">
      <c r="A217" t="inlineStr">
        <is>
          <t>Doruk Hastaneleri</t>
        </is>
      </c>
      <c r="B217" t="inlineStr">
        <is>
          <t>Hastane (Kurumsal)</t>
        </is>
      </c>
      <c r="C217" t="inlineStr">
        <is>
          <t>Lead Toplama (Form)</t>
        </is>
      </c>
      <c r="D217" t="n">
        <v>1085.97</v>
      </c>
    </row>
    <row r="218">
      <c r="A218" t="inlineStr">
        <is>
          <t>Doruk Hastaneleri</t>
        </is>
      </c>
      <c r="B218" t="inlineStr">
        <is>
          <t>Hastane (Kurumsal)</t>
        </is>
      </c>
      <c r="C218" t="inlineStr">
        <is>
          <t>Lead Toplama (Form)</t>
        </is>
      </c>
      <c r="D218" t="n">
        <v>1085.06</v>
      </c>
    </row>
    <row r="219">
      <c r="A219" t="inlineStr">
        <is>
          <t>Doruk Hastaneleri</t>
        </is>
      </c>
      <c r="B219" t="inlineStr">
        <is>
          <t>Hastane (Kurumsal)</t>
        </is>
      </c>
      <c r="C219" t="inlineStr">
        <is>
          <t>Lead Toplama (Form)</t>
        </is>
      </c>
      <c r="D219" t="n">
        <v>1083.71</v>
      </c>
    </row>
    <row r="220">
      <c r="A220" t="inlineStr">
        <is>
          <t>Op.Dr. Abdullah ERTAŞ</t>
        </is>
      </c>
      <c r="B220" t="inlineStr">
        <is>
          <t>Doktor Sayfaları</t>
        </is>
      </c>
      <c r="C220" t="inlineStr">
        <is>
          <t>Instagram Öne Çıkarma</t>
        </is>
      </c>
      <c r="D220" t="n">
        <v>1081.29</v>
      </c>
    </row>
    <row r="221">
      <c r="A221" t="inlineStr">
        <is>
          <t>Doruk Hastaneleri</t>
        </is>
      </c>
      <c r="B221" t="inlineStr">
        <is>
          <t>Hastane (Kurumsal)</t>
        </is>
      </c>
      <c r="C221" t="inlineStr">
        <is>
          <t>Lead Toplama (Form)</t>
        </is>
      </c>
      <c r="D221" t="n">
        <v>1081.07</v>
      </c>
    </row>
    <row r="222">
      <c r="A222" t="inlineStr">
        <is>
          <t>Doruk Hastaneleri</t>
        </is>
      </c>
      <c r="B222" t="inlineStr">
        <is>
          <t>Hastane (Kurumsal)</t>
        </is>
      </c>
      <c r="C222" t="inlineStr">
        <is>
          <t>Instagram Öne Çıkarma</t>
        </is>
      </c>
      <c r="D222" t="n">
        <v>1079.97</v>
      </c>
    </row>
    <row r="223">
      <c r="A223" t="inlineStr">
        <is>
          <t>Doruk Hastaneleri</t>
        </is>
      </c>
      <c r="B223" t="inlineStr">
        <is>
          <t>Hastane (Kurumsal)</t>
        </is>
      </c>
      <c r="C223" t="inlineStr">
        <is>
          <t>Lead Toplama (Form)</t>
        </is>
      </c>
      <c r="D223" t="n">
        <v>1074.15</v>
      </c>
    </row>
    <row r="224">
      <c r="A224" t="inlineStr">
        <is>
          <t>Doruk Hastaneleri</t>
        </is>
      </c>
      <c r="B224" t="inlineStr">
        <is>
          <t>Hastane (Kurumsal)</t>
        </is>
      </c>
      <c r="C224" t="inlineStr">
        <is>
          <t>Lead Toplama (Form)</t>
        </is>
      </c>
      <c r="D224" t="n">
        <v>1068.86</v>
      </c>
    </row>
    <row r="225">
      <c r="A225" t="inlineStr">
        <is>
          <t>Doç.Dr. Selin Aktürk Esen</t>
        </is>
      </c>
      <c r="B225" t="inlineStr">
        <is>
          <t>Doktor Sayfaları</t>
        </is>
      </c>
      <c r="C225" t="inlineStr">
        <is>
          <t>Instagram Öne Çıkarma</t>
        </is>
      </c>
      <c r="D225" t="n">
        <v>1067.37</v>
      </c>
    </row>
    <row r="226">
      <c r="A226" t="inlineStr">
        <is>
          <t>Doruk Hastaneleri</t>
        </is>
      </c>
      <c r="B226" t="inlineStr">
        <is>
          <t>Hastane (Kurumsal)</t>
        </is>
      </c>
      <c r="C226" t="inlineStr">
        <is>
          <t>Marka Bilinirliği (Erişim)</t>
        </is>
      </c>
      <c r="D226" t="n">
        <v>1065.31</v>
      </c>
    </row>
    <row r="227">
      <c r="A227" t="inlineStr">
        <is>
          <t>Doruk Hastaneleri</t>
        </is>
      </c>
      <c r="B227" t="inlineStr">
        <is>
          <t>Hastane (Kurumsal)</t>
        </is>
      </c>
      <c r="C227" t="inlineStr">
        <is>
          <t>Lead Toplama (Form)</t>
        </is>
      </c>
      <c r="D227" t="n">
        <v>1064.67</v>
      </c>
    </row>
    <row r="228">
      <c r="A228" t="inlineStr">
        <is>
          <t>Doruk Hastaneleri</t>
        </is>
      </c>
      <c r="B228" t="inlineStr">
        <is>
          <t>Hastane (Kurumsal)</t>
        </is>
      </c>
      <c r="C228" t="inlineStr">
        <is>
          <t>Lead Toplama (Form)</t>
        </is>
      </c>
      <c r="D228" t="n">
        <v>1064.24</v>
      </c>
    </row>
    <row r="229">
      <c r="A229" t="inlineStr">
        <is>
          <t>Doruk Hastaneleri</t>
        </is>
      </c>
      <c r="B229" t="inlineStr">
        <is>
          <t>Hastane (Kurumsal)</t>
        </is>
      </c>
      <c r="C229" t="inlineStr">
        <is>
          <t>Lead Toplama (Form)</t>
        </is>
      </c>
      <c r="D229" t="n">
        <v>1059.16</v>
      </c>
    </row>
    <row r="230">
      <c r="A230" t="inlineStr">
        <is>
          <t>Doruk Hastaneleri</t>
        </is>
      </c>
      <c r="B230" t="inlineStr">
        <is>
          <t>Hastane (Kurumsal)</t>
        </is>
      </c>
      <c r="C230" t="inlineStr">
        <is>
          <t>Lead Toplama (Form)</t>
        </is>
      </c>
      <c r="D230" t="n">
        <v>1054.18</v>
      </c>
    </row>
    <row r="231">
      <c r="A231" t="inlineStr">
        <is>
          <t>Doruk Hastaneleri</t>
        </is>
      </c>
      <c r="B231" t="inlineStr">
        <is>
          <t>Hastane (Kurumsal)</t>
        </is>
      </c>
      <c r="C231" t="inlineStr">
        <is>
          <t>Lead Toplama (Form)</t>
        </is>
      </c>
      <c r="D231" t="n">
        <v>1053.64</v>
      </c>
    </row>
    <row r="232">
      <c r="A232" t="inlineStr">
        <is>
          <t>Doruk Hastaneleri</t>
        </is>
      </c>
      <c r="B232" t="inlineStr">
        <is>
          <t>Hastane (Kurumsal)</t>
        </is>
      </c>
      <c r="C232" t="inlineStr">
        <is>
          <t>Lead Toplama (Form)</t>
        </is>
      </c>
      <c r="D232" t="n">
        <v>1053.01</v>
      </c>
    </row>
    <row r="233">
      <c r="A233" t="inlineStr">
        <is>
          <t>Doruk Hastaneleri</t>
        </is>
      </c>
      <c r="B233" t="inlineStr">
        <is>
          <t>Hastane (Kurumsal)</t>
        </is>
      </c>
      <c r="C233" t="inlineStr">
        <is>
          <t>Marka Bilinirliği (Erişim)</t>
        </is>
      </c>
      <c r="D233" t="n">
        <v>1052.72</v>
      </c>
    </row>
    <row r="234">
      <c r="A234" t="inlineStr">
        <is>
          <t>Doruk Hastaneleri</t>
        </is>
      </c>
      <c r="B234" t="inlineStr">
        <is>
          <t>Hastane (Kurumsal)</t>
        </is>
      </c>
      <c r="C234" t="inlineStr">
        <is>
          <t>Lead Toplama (Form)</t>
        </is>
      </c>
      <c r="D234" t="n">
        <v>1048.97</v>
      </c>
    </row>
    <row r="235">
      <c r="A235" t="inlineStr">
        <is>
          <t>Doruk Hastaneleri</t>
        </is>
      </c>
      <c r="B235" t="inlineStr">
        <is>
          <t>Hastane (Kurumsal)</t>
        </is>
      </c>
      <c r="C235" t="inlineStr">
        <is>
          <t>Lead Toplama (Form)</t>
        </is>
      </c>
      <c r="D235" t="n">
        <v>1047.38</v>
      </c>
    </row>
    <row r="236">
      <c r="A236" t="inlineStr">
        <is>
          <t>Doruk Hastaneleri</t>
        </is>
      </c>
      <c r="B236" t="inlineStr">
        <is>
          <t>Hastane (Kurumsal)</t>
        </is>
      </c>
      <c r="C236" t="inlineStr">
        <is>
          <t>Instagram Öne Çıkarma</t>
        </is>
      </c>
      <c r="D236" t="n">
        <v>1046.22</v>
      </c>
    </row>
    <row r="237">
      <c r="A237" t="inlineStr">
        <is>
          <t>Doruk Hastaneleri</t>
        </is>
      </c>
      <c r="B237" t="inlineStr">
        <is>
          <t>Hastane (Kurumsal)</t>
        </is>
      </c>
      <c r="C237" t="inlineStr">
        <is>
          <t>Instagram Öne Çıkarma</t>
        </is>
      </c>
      <c r="D237" t="n">
        <v>1045.75</v>
      </c>
    </row>
    <row r="238">
      <c r="A238" t="inlineStr">
        <is>
          <t>Op.Dr. Abdullah ERTAŞ</t>
        </is>
      </c>
      <c r="B238" t="inlineStr">
        <is>
          <t>Doktor Sayfaları</t>
        </is>
      </c>
      <c r="C238" t="inlineStr">
        <is>
          <t>Instagram Öne Çıkarma</t>
        </is>
      </c>
      <c r="D238" t="n">
        <v>1045.61</v>
      </c>
    </row>
    <row r="239">
      <c r="A239" t="inlineStr">
        <is>
          <t>Doruk Hastaneleri</t>
        </is>
      </c>
      <c r="B239" t="inlineStr">
        <is>
          <t>Hastane (Kurumsal)</t>
        </is>
      </c>
      <c r="C239" t="inlineStr">
        <is>
          <t>Instagram Öne Çıkarma</t>
        </is>
      </c>
      <c r="D239" t="n">
        <v>1043.96</v>
      </c>
    </row>
    <row r="240">
      <c r="A240" t="inlineStr">
        <is>
          <t>Doruk Hastaneleri</t>
        </is>
      </c>
      <c r="B240" t="inlineStr">
        <is>
          <t>Hastane (Kurumsal)</t>
        </is>
      </c>
      <c r="C240" t="inlineStr">
        <is>
          <t>Lead Toplama (Form)</t>
        </is>
      </c>
      <c r="D240" t="n">
        <v>1040.95</v>
      </c>
    </row>
    <row r="241">
      <c r="A241" t="inlineStr">
        <is>
          <t>Doruk Hastaneleri</t>
        </is>
      </c>
      <c r="B241" t="inlineStr">
        <is>
          <t>Hastane (Kurumsal)</t>
        </is>
      </c>
      <c r="C241" t="inlineStr">
        <is>
          <t>Instagram Öne Çıkarma</t>
        </is>
      </c>
      <c r="D241" t="n">
        <v>1040.02</v>
      </c>
    </row>
    <row r="242">
      <c r="A242" t="inlineStr">
        <is>
          <t>Doruk Hastaneleri</t>
        </is>
      </c>
      <c r="B242" t="inlineStr">
        <is>
          <t>Hastane (Kurumsal)</t>
        </is>
      </c>
      <c r="C242" t="inlineStr">
        <is>
          <t>Lead Toplama (Form)</t>
        </is>
      </c>
      <c r="D242" t="n">
        <v>1039.91</v>
      </c>
    </row>
    <row r="243">
      <c r="A243" t="inlineStr">
        <is>
          <t>Doruk Hastaneleri</t>
        </is>
      </c>
      <c r="B243" t="inlineStr">
        <is>
          <t>Hastane (Kurumsal)</t>
        </is>
      </c>
      <c r="C243" t="inlineStr">
        <is>
          <t>Lead Toplama (Form)</t>
        </is>
      </c>
      <c r="D243" t="n">
        <v>1035.1</v>
      </c>
    </row>
    <row r="244">
      <c r="A244" t="inlineStr">
        <is>
          <t>Doruk Hastaneleri</t>
        </is>
      </c>
      <c r="B244" t="inlineStr">
        <is>
          <t>Hastane (Kurumsal)</t>
        </is>
      </c>
      <c r="C244" t="inlineStr">
        <is>
          <t>Lead Toplama (Form)</t>
        </is>
      </c>
      <c r="D244" t="n">
        <v>1033.57</v>
      </c>
    </row>
    <row r="245">
      <c r="A245" t="inlineStr">
        <is>
          <t>Doruk Hastaneleri</t>
        </is>
      </c>
      <c r="B245" t="inlineStr">
        <is>
          <t>Hastane (Kurumsal)</t>
        </is>
      </c>
      <c r="C245" t="inlineStr">
        <is>
          <t>Lead Toplama (Form)</t>
        </is>
      </c>
      <c r="D245" t="n">
        <v>1032.95</v>
      </c>
    </row>
    <row r="246">
      <c r="A246" t="inlineStr">
        <is>
          <t>Doruk Hastaneleri</t>
        </is>
      </c>
      <c r="B246" t="inlineStr">
        <is>
          <t>Hastane (Kurumsal)</t>
        </is>
      </c>
      <c r="C246" t="inlineStr">
        <is>
          <t>Marka Bilinirliği (Erişim)</t>
        </is>
      </c>
      <c r="D246" t="n">
        <v>1027.51</v>
      </c>
    </row>
    <row r="247">
      <c r="A247" t="inlineStr">
        <is>
          <t>Doruk Hastaneleri</t>
        </is>
      </c>
      <c r="B247" t="inlineStr">
        <is>
          <t>Hastane (Kurumsal)</t>
        </is>
      </c>
      <c r="C247" t="inlineStr">
        <is>
          <t>Marka Bilinirliği (Erişim)</t>
        </is>
      </c>
      <c r="D247" t="n">
        <v>1024.33</v>
      </c>
    </row>
    <row r="248">
      <c r="A248" t="inlineStr">
        <is>
          <t>Doç.Dr. Selin Aktürk Esen</t>
        </is>
      </c>
      <c r="B248" t="inlineStr">
        <is>
          <t>Doktor Sayfaları</t>
        </is>
      </c>
      <c r="C248" t="inlineStr">
        <is>
          <t>Instagram Öne Çıkarma</t>
        </is>
      </c>
      <c r="D248" t="n">
        <v>1023.21</v>
      </c>
    </row>
    <row r="249">
      <c r="A249" t="inlineStr">
        <is>
          <t>Doruk Hastaneleri</t>
        </is>
      </c>
      <c r="B249" t="inlineStr">
        <is>
          <t>Hastane (Kurumsal)</t>
        </is>
      </c>
      <c r="C249" t="inlineStr">
        <is>
          <t>Lead Toplama (Form)</t>
        </is>
      </c>
      <c r="D249" t="n">
        <v>1022.3</v>
      </c>
    </row>
    <row r="250">
      <c r="A250" t="inlineStr">
        <is>
          <t>Doruk Hastaneleri</t>
        </is>
      </c>
      <c r="B250" t="inlineStr">
        <is>
          <t>Hastane (Kurumsal)</t>
        </is>
      </c>
      <c r="C250" t="inlineStr">
        <is>
          <t>Marka Bilinirliği (Erişim)</t>
        </is>
      </c>
      <c r="D250" t="n">
        <v>1019.36</v>
      </c>
    </row>
    <row r="251">
      <c r="A251" t="inlineStr">
        <is>
          <t>Doruk Hastaneleri</t>
        </is>
      </c>
      <c r="B251" t="inlineStr">
        <is>
          <t>Hastane (Kurumsal)</t>
        </is>
      </c>
      <c r="C251" t="inlineStr">
        <is>
          <t>Lead Toplama (Form)</t>
        </is>
      </c>
      <c r="D251" t="n">
        <v>1019.06</v>
      </c>
    </row>
    <row r="252">
      <c r="A252" t="inlineStr">
        <is>
          <t>Doruk Hastaneleri</t>
        </is>
      </c>
      <c r="B252" t="inlineStr">
        <is>
          <t>Hastane (Kurumsal)</t>
        </is>
      </c>
      <c r="C252" t="inlineStr">
        <is>
          <t>Lead Toplama (Form)</t>
        </is>
      </c>
      <c r="D252" t="n">
        <v>1018.24</v>
      </c>
    </row>
    <row r="253">
      <c r="A253" t="inlineStr">
        <is>
          <t>Doruk Hastaneleri</t>
        </is>
      </c>
      <c r="B253" t="inlineStr">
        <is>
          <t>Hastane (Kurumsal)</t>
        </is>
      </c>
      <c r="C253" t="inlineStr">
        <is>
          <t>Instagram Öne Çıkarma</t>
        </is>
      </c>
      <c r="D253" t="n">
        <v>1017.89</v>
      </c>
    </row>
    <row r="254">
      <c r="A254" t="inlineStr">
        <is>
          <t>Op.Dr. Eren Kaya</t>
        </is>
      </c>
      <c r="B254" t="inlineStr">
        <is>
          <t>Doktor Sayfaları</t>
        </is>
      </c>
      <c r="C254" t="inlineStr">
        <is>
          <t>Instagram Öne Çıkarma</t>
        </is>
      </c>
      <c r="D254" t="n">
        <v>1016.84</v>
      </c>
    </row>
    <row r="255">
      <c r="A255" t="inlineStr">
        <is>
          <t>Doruk Hastaneleri</t>
        </is>
      </c>
      <c r="B255" t="inlineStr">
        <is>
          <t>Hastane (Kurumsal)</t>
        </is>
      </c>
      <c r="C255" t="inlineStr">
        <is>
          <t>Marka Bilinirliği (Erişim)</t>
        </is>
      </c>
      <c r="D255" t="n">
        <v>1015.44</v>
      </c>
    </row>
    <row r="256">
      <c r="A256" t="inlineStr">
        <is>
          <t>Doruk Hastaneleri</t>
        </is>
      </c>
      <c r="B256" t="inlineStr">
        <is>
          <t>Hastane (Kurumsal)</t>
        </is>
      </c>
      <c r="C256" t="inlineStr">
        <is>
          <t>Lead Toplama (Form)</t>
        </is>
      </c>
      <c r="D256" t="n">
        <v>1013.24</v>
      </c>
    </row>
    <row r="257">
      <c r="A257" t="inlineStr">
        <is>
          <t>Doruk Hastaneleri</t>
        </is>
      </c>
      <c r="B257" t="inlineStr">
        <is>
          <t>Hastane (Kurumsal)</t>
        </is>
      </c>
      <c r="C257" t="inlineStr">
        <is>
          <t>Instagram Öne Çıkarma</t>
        </is>
      </c>
      <c r="D257" t="n">
        <v>1012.76</v>
      </c>
    </row>
    <row r="258">
      <c r="A258" t="inlineStr">
        <is>
          <t>Op. Dr. Emre Çaycı</t>
        </is>
      </c>
      <c r="B258" t="inlineStr">
        <is>
          <t>Doktor Sayfaları</t>
        </is>
      </c>
      <c r="C258" t="inlineStr">
        <is>
          <t>Instagram Öne Çıkarma</t>
        </is>
      </c>
      <c r="D258" t="n">
        <v>1008.13</v>
      </c>
    </row>
    <row r="259">
      <c r="A259" t="inlineStr">
        <is>
          <t>Op.Dr. Eren Kaya</t>
        </is>
      </c>
      <c r="B259" t="inlineStr">
        <is>
          <t>Doktor Sayfaları</t>
        </is>
      </c>
      <c r="C259" t="inlineStr">
        <is>
          <t>Instagram Öne Çıkarma</t>
        </is>
      </c>
      <c r="D259" t="n">
        <v>1007.8</v>
      </c>
    </row>
    <row r="260">
      <c r="A260" t="inlineStr">
        <is>
          <t>Doruk Hastaneleri</t>
        </is>
      </c>
      <c r="B260" t="inlineStr">
        <is>
          <t>Hastane (Kurumsal)</t>
        </is>
      </c>
      <c r="C260" t="inlineStr">
        <is>
          <t>Lead Toplama (Form)</t>
        </is>
      </c>
      <c r="D260" t="n">
        <v>1005.41</v>
      </c>
    </row>
    <row r="261">
      <c r="A261" t="inlineStr">
        <is>
          <t>Doruk Hastaneleri</t>
        </is>
      </c>
      <c r="B261" t="inlineStr">
        <is>
          <t>Hastane (Kurumsal)</t>
        </is>
      </c>
      <c r="C261" t="inlineStr">
        <is>
          <t>Marka Bilinirliği (Erişim)</t>
        </is>
      </c>
      <c r="D261" t="n">
        <v>1004.04</v>
      </c>
    </row>
    <row r="262">
      <c r="A262" t="inlineStr">
        <is>
          <t>Doruk Hastaneleri</t>
        </is>
      </c>
      <c r="B262" t="inlineStr">
        <is>
          <t>Hastane (Kurumsal)</t>
        </is>
      </c>
      <c r="C262" t="inlineStr">
        <is>
          <t>Lead Toplama (Form)</t>
        </is>
      </c>
      <c r="D262" t="n">
        <v>1002.56</v>
      </c>
    </row>
    <row r="263">
      <c r="A263" t="inlineStr">
        <is>
          <t>Op.Dr. Abdullah ERTAŞ</t>
        </is>
      </c>
      <c r="B263" t="inlineStr">
        <is>
          <t>Doktor Sayfaları</t>
        </is>
      </c>
      <c r="C263" t="inlineStr">
        <is>
          <t>Instagram Öne Çıkarma</t>
        </is>
      </c>
      <c r="D263" t="n">
        <v>999.9299999999999</v>
      </c>
    </row>
    <row r="264">
      <c r="A264" t="inlineStr">
        <is>
          <t>Op.Dr. Eren Kaya</t>
        </is>
      </c>
      <c r="B264" t="inlineStr">
        <is>
          <t>Doktor Sayfaları</t>
        </is>
      </c>
      <c r="C264" t="inlineStr">
        <is>
          <t>Instagram Öne Çıkarma</t>
        </is>
      </c>
      <c r="D264" t="n">
        <v>997.9</v>
      </c>
    </row>
    <row r="265">
      <c r="A265" t="inlineStr">
        <is>
          <t>Doruk Hastaneleri</t>
        </is>
      </c>
      <c r="B265" t="inlineStr">
        <is>
          <t>Hastane (Kurumsal)</t>
        </is>
      </c>
      <c r="C265" t="inlineStr">
        <is>
          <t>Instagram Öne Çıkarma</t>
        </is>
      </c>
      <c r="D265" t="n">
        <v>997.11</v>
      </c>
    </row>
    <row r="266">
      <c r="A266" t="inlineStr">
        <is>
          <t>Doruk Hastaneleri</t>
        </is>
      </c>
      <c r="B266" t="inlineStr">
        <is>
          <t>Hastane (Kurumsal)</t>
        </is>
      </c>
      <c r="C266" t="inlineStr">
        <is>
          <t>Instagram Öne Çıkarma</t>
        </is>
      </c>
      <c r="D266" t="n">
        <v>995.25</v>
      </c>
    </row>
    <row r="267">
      <c r="A267" t="inlineStr">
        <is>
          <t>Doruk Hastaneleri</t>
        </is>
      </c>
      <c r="B267" t="inlineStr">
        <is>
          <t>Hastane (Kurumsal)</t>
        </is>
      </c>
      <c r="C267" t="inlineStr">
        <is>
          <t>Lead Toplama (Form)</t>
        </is>
      </c>
      <c r="D267" t="n">
        <v>993.74</v>
      </c>
    </row>
    <row r="268">
      <c r="A268" t="inlineStr">
        <is>
          <t>Doruk Hastaneleri</t>
        </is>
      </c>
      <c r="B268" t="inlineStr">
        <is>
          <t>Hastane (Kurumsal)</t>
        </is>
      </c>
      <c r="C268" t="inlineStr">
        <is>
          <t>Instagram Öne Çıkarma</t>
        </is>
      </c>
      <c r="D268" t="n">
        <v>992.01</v>
      </c>
    </row>
    <row r="269">
      <c r="A269" t="inlineStr">
        <is>
          <t>Doruk Hastaneleri</t>
        </is>
      </c>
      <c r="B269" t="inlineStr">
        <is>
          <t>Hastane (Kurumsal)</t>
        </is>
      </c>
      <c r="C269" t="inlineStr">
        <is>
          <t>Marka Bilinirliği (Erişim)</t>
        </is>
      </c>
      <c r="D269" t="n">
        <v>991.9299999999999</v>
      </c>
    </row>
    <row r="270">
      <c r="A270" t="inlineStr">
        <is>
          <t>Op. Dr. Emre Çaycı</t>
        </is>
      </c>
      <c r="B270" t="inlineStr">
        <is>
          <t>Doktor Sayfaları</t>
        </is>
      </c>
      <c r="C270" t="inlineStr">
        <is>
          <t>Instagram Öne Çıkarma</t>
        </is>
      </c>
      <c r="D270" t="n">
        <v>990.72</v>
      </c>
    </row>
    <row r="271">
      <c r="A271" t="inlineStr">
        <is>
          <t>Op.Dr. Abdullah ERTAŞ</t>
        </is>
      </c>
      <c r="B271" t="inlineStr">
        <is>
          <t>Doktor Sayfaları</t>
        </is>
      </c>
      <c r="C271" t="inlineStr">
        <is>
          <t>Instagram Öne Çıkarma</t>
        </is>
      </c>
      <c r="D271" t="n">
        <v>985.4</v>
      </c>
    </row>
    <row r="272">
      <c r="A272" t="inlineStr">
        <is>
          <t>Op.Dr. Abdullah ERTAŞ</t>
        </is>
      </c>
      <c r="B272" t="inlineStr">
        <is>
          <t>Doktor Sayfaları</t>
        </is>
      </c>
      <c r="C272" t="inlineStr">
        <is>
          <t>Instagram Öne Çıkarma</t>
        </is>
      </c>
      <c r="D272" t="n">
        <v>982.49</v>
      </c>
    </row>
    <row r="273">
      <c r="A273" t="inlineStr">
        <is>
          <t>Op.Dr. Abdullah ERTAŞ</t>
        </is>
      </c>
      <c r="B273" t="inlineStr">
        <is>
          <t>Doktor Sayfaları</t>
        </is>
      </c>
      <c r="C273" t="inlineStr">
        <is>
          <t>Instagram Öne Çıkarma</t>
        </is>
      </c>
      <c r="D273" t="n">
        <v>981.91</v>
      </c>
    </row>
    <row r="274">
      <c r="A274" t="inlineStr">
        <is>
          <t>Doruk Hastaneleri</t>
        </is>
      </c>
      <c r="B274" t="inlineStr">
        <is>
          <t>Hastane (Kurumsal)</t>
        </is>
      </c>
      <c r="C274" t="inlineStr">
        <is>
          <t>Instagram Öne Çıkarma</t>
        </is>
      </c>
      <c r="D274" t="n">
        <v>980.77</v>
      </c>
    </row>
    <row r="275">
      <c r="A275" t="inlineStr">
        <is>
          <t>Doruk Hastaneleri</t>
        </is>
      </c>
      <c r="B275" t="inlineStr">
        <is>
          <t>Hastane (Kurumsal)</t>
        </is>
      </c>
      <c r="C275" t="inlineStr">
        <is>
          <t>Lead Toplama (Form)</t>
        </is>
      </c>
      <c r="D275" t="n">
        <v>980.33</v>
      </c>
    </row>
    <row r="276">
      <c r="A276" t="inlineStr">
        <is>
          <t>Doruk Hastaneleri</t>
        </is>
      </c>
      <c r="B276" t="inlineStr">
        <is>
          <t>Hastane (Kurumsal)</t>
        </is>
      </c>
      <c r="C276" t="inlineStr">
        <is>
          <t>Lead Toplama (Form)</t>
        </is>
      </c>
      <c r="D276" t="n">
        <v>980.21</v>
      </c>
    </row>
    <row r="277">
      <c r="A277" t="inlineStr">
        <is>
          <t>Doruk Hastaneleri</t>
        </is>
      </c>
      <c r="B277" t="inlineStr">
        <is>
          <t>Hastane (Kurumsal)</t>
        </is>
      </c>
      <c r="C277" t="inlineStr">
        <is>
          <t>Lead Toplama (Form)</t>
        </is>
      </c>
      <c r="D277" t="n">
        <v>979.61</v>
      </c>
    </row>
    <row r="278">
      <c r="A278" t="inlineStr">
        <is>
          <t>Doruk Hastaneleri</t>
        </is>
      </c>
      <c r="B278" t="inlineStr">
        <is>
          <t>Hastane (Kurumsal)</t>
        </is>
      </c>
      <c r="C278" t="inlineStr">
        <is>
          <t>Lead Toplama (Form)</t>
        </is>
      </c>
      <c r="D278" t="n">
        <v>978.8099999999999</v>
      </c>
    </row>
    <row r="279">
      <c r="A279" t="inlineStr">
        <is>
          <t>Doruk Hastaneleri</t>
        </is>
      </c>
      <c r="B279" t="inlineStr">
        <is>
          <t>Hastane (Kurumsal)</t>
        </is>
      </c>
      <c r="C279" t="inlineStr">
        <is>
          <t>Lead Toplama (Form)</t>
        </is>
      </c>
      <c r="D279" t="n">
        <v>975.11</v>
      </c>
    </row>
    <row r="280">
      <c r="A280" t="inlineStr">
        <is>
          <t>Op.Dr. Eren Kaya</t>
        </is>
      </c>
      <c r="B280" t="inlineStr">
        <is>
          <t>Doktor Sayfaları</t>
        </is>
      </c>
      <c r="C280" t="inlineStr">
        <is>
          <t>Instagram Öne Çıkarma</t>
        </is>
      </c>
      <c r="D280" t="n">
        <v>974.65</v>
      </c>
    </row>
    <row r="281">
      <c r="A281" t="inlineStr">
        <is>
          <t>Doruk Hastaneleri</t>
        </is>
      </c>
      <c r="B281" t="inlineStr">
        <is>
          <t>Hastane (Kurumsal)</t>
        </is>
      </c>
      <c r="C281" t="inlineStr">
        <is>
          <t>Lead Toplama (Form)</t>
        </is>
      </c>
      <c r="D281" t="n">
        <v>973.04</v>
      </c>
    </row>
    <row r="282">
      <c r="A282" t="inlineStr">
        <is>
          <t>Op. Dr. Emre Çaycı</t>
        </is>
      </c>
      <c r="B282" t="inlineStr">
        <is>
          <t>Doktor Sayfaları</t>
        </is>
      </c>
      <c r="C282" t="inlineStr">
        <is>
          <t>Instagram Öne Çıkarma</t>
        </is>
      </c>
      <c r="D282" t="n">
        <v>970.61</v>
      </c>
    </row>
    <row r="283">
      <c r="A283" t="inlineStr">
        <is>
          <t>Doruk Hastaneleri</t>
        </is>
      </c>
      <c r="B283" t="inlineStr">
        <is>
          <t>Hastane (Kurumsal)</t>
        </is>
      </c>
      <c r="C283" t="inlineStr">
        <is>
          <t>Lead Toplama (Form)</t>
        </is>
      </c>
      <c r="D283" t="n">
        <v>970.05</v>
      </c>
    </row>
    <row r="284">
      <c r="A284" t="inlineStr">
        <is>
          <t>Doruk Hastaneleri</t>
        </is>
      </c>
      <c r="B284" t="inlineStr">
        <is>
          <t>Hastane (Kurumsal)</t>
        </is>
      </c>
      <c r="C284" t="inlineStr">
        <is>
          <t>Lead Toplama (Form)</t>
        </is>
      </c>
      <c r="D284" t="n">
        <v>969.3099999999999</v>
      </c>
    </row>
    <row r="285">
      <c r="A285" t="inlineStr">
        <is>
          <t>Doruk Hastaneleri</t>
        </is>
      </c>
      <c r="B285" t="inlineStr">
        <is>
          <t>Hastane (Kurumsal)</t>
        </is>
      </c>
      <c r="C285" t="inlineStr">
        <is>
          <t>Lead Toplama (Form)</t>
        </is>
      </c>
      <c r="D285" t="n">
        <v>968.59</v>
      </c>
    </row>
    <row r="286">
      <c r="A286" t="inlineStr">
        <is>
          <t>Doç.Dr. Selin Aktürk Esen</t>
        </is>
      </c>
      <c r="B286" t="inlineStr">
        <is>
          <t>Doktor Sayfaları</t>
        </is>
      </c>
      <c r="C286" t="inlineStr">
        <is>
          <t>Instagram Öne Çıkarma</t>
        </is>
      </c>
      <c r="D286" t="n">
        <v>966.46</v>
      </c>
    </row>
    <row r="287">
      <c r="A287" t="inlineStr">
        <is>
          <t>Op. Dr. Emre Çaycı</t>
        </is>
      </c>
      <c r="B287" t="inlineStr">
        <is>
          <t>Doktor Sayfaları</t>
        </is>
      </c>
      <c r="C287" t="inlineStr">
        <is>
          <t>Instagram Öne Çıkarma</t>
        </is>
      </c>
      <c r="D287" t="n">
        <v>966.13</v>
      </c>
    </row>
    <row r="288">
      <c r="A288" t="inlineStr">
        <is>
          <t>Doruk Hastaneleri</t>
        </is>
      </c>
      <c r="B288" t="inlineStr">
        <is>
          <t>Hastane (Kurumsal)</t>
        </is>
      </c>
      <c r="C288" t="inlineStr">
        <is>
          <t>Lead Toplama (Form)</t>
        </is>
      </c>
      <c r="D288" t="n">
        <v>965.02</v>
      </c>
    </row>
    <row r="289">
      <c r="A289" t="inlineStr">
        <is>
          <t>Doruk Hastaneleri</t>
        </is>
      </c>
      <c r="B289" t="inlineStr">
        <is>
          <t>Hastane (Kurumsal)</t>
        </is>
      </c>
      <c r="C289" t="inlineStr">
        <is>
          <t>Marka Bilinirliği (Erişim)</t>
        </is>
      </c>
      <c r="D289" t="n">
        <v>964.29</v>
      </c>
    </row>
    <row r="290">
      <c r="A290" t="inlineStr">
        <is>
          <t>Doruk Hastaneleri</t>
        </is>
      </c>
      <c r="B290" t="inlineStr">
        <is>
          <t>Hastane (Kurumsal)</t>
        </is>
      </c>
      <c r="C290" t="inlineStr">
        <is>
          <t>Instagram Öne Çıkarma</t>
        </is>
      </c>
      <c r="D290" t="n">
        <v>964.03</v>
      </c>
    </row>
    <row r="291">
      <c r="A291" t="inlineStr">
        <is>
          <t>Doç.Dr. Selin Aktürk Esen</t>
        </is>
      </c>
      <c r="B291" t="inlineStr">
        <is>
          <t>Doktor Sayfaları</t>
        </is>
      </c>
      <c r="C291" t="inlineStr">
        <is>
          <t>Instagram Öne Çıkarma</t>
        </is>
      </c>
      <c r="D291" t="n">
        <v>962.33</v>
      </c>
    </row>
    <row r="292">
      <c r="A292" t="inlineStr">
        <is>
          <t>Doruk Hastaneleri</t>
        </is>
      </c>
      <c r="B292" t="inlineStr">
        <is>
          <t>Hastane (Kurumsal)</t>
        </is>
      </c>
      <c r="C292" t="inlineStr">
        <is>
          <t>Instagram Öne Çıkarma</t>
        </is>
      </c>
      <c r="D292" t="n">
        <v>959.49</v>
      </c>
    </row>
    <row r="293">
      <c r="A293" t="inlineStr">
        <is>
          <t>Doruk Hastaneleri</t>
        </is>
      </c>
      <c r="B293" t="inlineStr">
        <is>
          <t>Hastane (Kurumsal)</t>
        </is>
      </c>
      <c r="C293" t="inlineStr">
        <is>
          <t>Lead Toplama (Form)</t>
        </is>
      </c>
      <c r="D293" t="n">
        <v>956.58</v>
      </c>
    </row>
    <row r="294">
      <c r="A294" t="inlineStr">
        <is>
          <t>Doruk Hastaneleri</t>
        </is>
      </c>
      <c r="B294" t="inlineStr">
        <is>
          <t>Hastane (Kurumsal)</t>
        </is>
      </c>
      <c r="C294" t="inlineStr">
        <is>
          <t>Lead Toplama (Form)</t>
        </is>
      </c>
      <c r="D294" t="n">
        <v>950.42</v>
      </c>
    </row>
    <row r="295">
      <c r="A295" t="inlineStr">
        <is>
          <t>Doruk Hastaneleri</t>
        </is>
      </c>
      <c r="B295" t="inlineStr">
        <is>
          <t>Hastane (Kurumsal)</t>
        </is>
      </c>
      <c r="C295" t="inlineStr">
        <is>
          <t>Lead Toplama (Form)</t>
        </is>
      </c>
      <c r="D295" t="n">
        <v>948.74</v>
      </c>
    </row>
    <row r="296">
      <c r="A296" t="inlineStr">
        <is>
          <t>Doruk Hastaneleri</t>
        </is>
      </c>
      <c r="B296" t="inlineStr">
        <is>
          <t>Hastane (Kurumsal)</t>
        </is>
      </c>
      <c r="C296" t="inlineStr">
        <is>
          <t>Instagram Öne Çıkarma</t>
        </is>
      </c>
      <c r="D296" t="n">
        <v>948.13</v>
      </c>
    </row>
    <row r="297">
      <c r="A297" t="inlineStr">
        <is>
          <t>Doruk Hastaneleri</t>
        </is>
      </c>
      <c r="B297" t="inlineStr">
        <is>
          <t>Hastane (Kurumsal)</t>
        </is>
      </c>
      <c r="C297" t="inlineStr">
        <is>
          <t>Instagram Öne Çıkarma</t>
        </is>
      </c>
      <c r="D297" t="n">
        <v>947.76</v>
      </c>
    </row>
    <row r="298">
      <c r="A298" t="inlineStr">
        <is>
          <t>Doruk Hastaneleri</t>
        </is>
      </c>
      <c r="B298" t="inlineStr">
        <is>
          <t>Hastane (Kurumsal)</t>
        </is>
      </c>
      <c r="C298" t="inlineStr">
        <is>
          <t>Lead Toplama (Form)</t>
        </is>
      </c>
      <c r="D298" t="n">
        <v>939.45</v>
      </c>
    </row>
    <row r="299">
      <c r="A299" t="inlineStr">
        <is>
          <t>Doruk Hastaneleri</t>
        </is>
      </c>
      <c r="B299" t="inlineStr">
        <is>
          <t>Hastane (Kurumsal)</t>
        </is>
      </c>
      <c r="C299" t="inlineStr">
        <is>
          <t>Instagram Öne Çıkarma</t>
        </is>
      </c>
      <c r="D299" t="n">
        <v>938.53</v>
      </c>
    </row>
    <row r="300">
      <c r="A300" t="inlineStr">
        <is>
          <t>Op.Dr. Eren Kaya</t>
        </is>
      </c>
      <c r="B300" t="inlineStr">
        <is>
          <t>Doktor Sayfaları</t>
        </is>
      </c>
      <c r="C300" t="inlineStr">
        <is>
          <t>Instagram Öne Çıkarma</t>
        </is>
      </c>
      <c r="D300" t="n">
        <v>936.2</v>
      </c>
    </row>
    <row r="301">
      <c r="A301" t="inlineStr">
        <is>
          <t>Op.Dr. Abdullah ERTAŞ</t>
        </is>
      </c>
      <c r="B301" t="inlineStr">
        <is>
          <t>Doktor Sayfaları</t>
        </is>
      </c>
      <c r="C301" t="inlineStr">
        <is>
          <t>Instagram Öne Çıkarma</t>
        </is>
      </c>
      <c r="D301" t="n">
        <v>935.28</v>
      </c>
    </row>
    <row r="302">
      <c r="A302" t="inlineStr">
        <is>
          <t>Doruk Hastaneleri</t>
        </is>
      </c>
      <c r="B302" t="inlineStr">
        <is>
          <t>Hastane (Kurumsal)</t>
        </is>
      </c>
      <c r="C302" t="inlineStr">
        <is>
          <t>Marka Bilinirliği (Erişim)</t>
        </is>
      </c>
      <c r="D302" t="n">
        <v>934.55</v>
      </c>
    </row>
    <row r="303">
      <c r="A303" t="inlineStr">
        <is>
          <t>Doruk Hastaneleri</t>
        </is>
      </c>
      <c r="B303" t="inlineStr">
        <is>
          <t>Hastane (Kurumsal)</t>
        </is>
      </c>
      <c r="C303" t="inlineStr">
        <is>
          <t>Lead Toplama (Form)</t>
        </is>
      </c>
      <c r="D303" t="n">
        <v>929.83</v>
      </c>
    </row>
    <row r="304">
      <c r="A304" t="inlineStr">
        <is>
          <t>Doruk Hastaneleri</t>
        </is>
      </c>
      <c r="B304" t="inlineStr">
        <is>
          <t>Hastane (Kurumsal)</t>
        </is>
      </c>
      <c r="C304" t="inlineStr">
        <is>
          <t>Lead Toplama (Form)</t>
        </is>
      </c>
      <c r="D304" t="n">
        <v>927.3099999999999</v>
      </c>
    </row>
    <row r="305">
      <c r="A305" t="inlineStr">
        <is>
          <t>Doruk Hastaneleri</t>
        </is>
      </c>
      <c r="B305" t="inlineStr">
        <is>
          <t>Hastane (Kurumsal)</t>
        </is>
      </c>
      <c r="C305" t="inlineStr">
        <is>
          <t>Lead Toplama (Form)</t>
        </is>
      </c>
      <c r="D305" t="n">
        <v>924.98</v>
      </c>
    </row>
    <row r="306">
      <c r="A306" t="inlineStr">
        <is>
          <t>Doruk Hastaneleri</t>
        </is>
      </c>
      <c r="B306" t="inlineStr">
        <is>
          <t>Hastane (Kurumsal)</t>
        </is>
      </c>
      <c r="C306" t="inlineStr">
        <is>
          <t>Instagram Öne Çıkarma</t>
        </is>
      </c>
      <c r="D306" t="n">
        <v>923.66</v>
      </c>
    </row>
    <row r="307">
      <c r="A307" t="inlineStr">
        <is>
          <t>Op. Dr. Emre Çaycı</t>
        </is>
      </c>
      <c r="B307" t="inlineStr">
        <is>
          <t>Doktor Sayfaları</t>
        </is>
      </c>
      <c r="C307" t="inlineStr">
        <is>
          <t>Instagram Öne Çıkarma</t>
        </is>
      </c>
      <c r="D307" t="n">
        <v>923.48</v>
      </c>
    </row>
    <row r="308">
      <c r="A308" t="inlineStr">
        <is>
          <t>Op.Dr. Eren Kaya</t>
        </is>
      </c>
      <c r="B308" t="inlineStr">
        <is>
          <t>Doktor Sayfaları</t>
        </is>
      </c>
      <c r="C308" t="inlineStr">
        <is>
          <t>Instagram Öne Çıkarma</t>
        </is>
      </c>
      <c r="D308" t="n">
        <v>921.85</v>
      </c>
    </row>
    <row r="309">
      <c r="A309" t="inlineStr">
        <is>
          <t>Doruk Hastaneleri</t>
        </is>
      </c>
      <c r="B309" t="inlineStr">
        <is>
          <t>Hastane (Kurumsal)</t>
        </is>
      </c>
      <c r="C309" t="inlineStr">
        <is>
          <t>Lead Toplama (Form)</t>
        </is>
      </c>
      <c r="D309" t="n">
        <v>910.99</v>
      </c>
    </row>
    <row r="310">
      <c r="A310" t="inlineStr">
        <is>
          <t>Doruk Hastaneleri</t>
        </is>
      </c>
      <c r="B310" t="inlineStr">
        <is>
          <t>Hastane (Kurumsal)</t>
        </is>
      </c>
      <c r="C310" t="inlineStr">
        <is>
          <t>Instagram Öne Çıkarma</t>
        </is>
      </c>
      <c r="D310" t="n">
        <v>909.9</v>
      </c>
    </row>
    <row r="311">
      <c r="A311" t="inlineStr">
        <is>
          <t>Doruk Hastaneleri</t>
        </is>
      </c>
      <c r="B311" t="inlineStr">
        <is>
          <t>Hastane (Kurumsal)</t>
        </is>
      </c>
      <c r="C311" t="inlineStr">
        <is>
          <t>Instagram Öne Çıkarma</t>
        </is>
      </c>
      <c r="D311" t="n">
        <v>907.58</v>
      </c>
    </row>
    <row r="312">
      <c r="A312" t="inlineStr">
        <is>
          <t>Doruk Hastaneleri</t>
        </is>
      </c>
      <c r="B312" t="inlineStr">
        <is>
          <t>Hastane (Kurumsal)</t>
        </is>
      </c>
      <c r="C312" t="inlineStr">
        <is>
          <t>Instagram Öne Çıkarma</t>
        </is>
      </c>
      <c r="D312" t="n">
        <v>907.48</v>
      </c>
    </row>
    <row r="313">
      <c r="A313" t="inlineStr">
        <is>
          <t>Op. Dr. Emre Çaycı</t>
        </is>
      </c>
      <c r="B313" t="inlineStr">
        <is>
          <t>Doktor Sayfaları</t>
        </is>
      </c>
      <c r="C313" t="inlineStr">
        <is>
          <t>Instagram Öne Çıkarma</t>
        </is>
      </c>
      <c r="D313" t="n">
        <v>907.36</v>
      </c>
    </row>
    <row r="314">
      <c r="A314" t="inlineStr">
        <is>
          <t>Doruk Hastaneleri</t>
        </is>
      </c>
      <c r="B314" t="inlineStr">
        <is>
          <t>Hastane (Kurumsal)</t>
        </is>
      </c>
      <c r="C314" t="inlineStr">
        <is>
          <t>Lead Toplama (Form)</t>
        </is>
      </c>
      <c r="D314" t="n">
        <v>904.88</v>
      </c>
    </row>
    <row r="315">
      <c r="A315" t="inlineStr">
        <is>
          <t>Doruk Hastaneleri</t>
        </is>
      </c>
      <c r="B315" t="inlineStr">
        <is>
          <t>Hastane (Kurumsal)</t>
        </is>
      </c>
      <c r="C315" t="inlineStr">
        <is>
          <t>Instagram Öne Çıkarma</t>
        </is>
      </c>
      <c r="D315" t="n">
        <v>904.23</v>
      </c>
    </row>
    <row r="316">
      <c r="A316" t="inlineStr">
        <is>
          <t>Doruk Hastaneleri</t>
        </is>
      </c>
      <c r="B316" t="inlineStr">
        <is>
          <t>Hastane (Kurumsal)</t>
        </is>
      </c>
      <c r="C316" t="inlineStr">
        <is>
          <t>Lead Toplama (Form)</t>
        </is>
      </c>
      <c r="D316" t="n">
        <v>899.37</v>
      </c>
    </row>
    <row r="317">
      <c r="A317" t="inlineStr">
        <is>
          <t>Doruk Hastaneleri</t>
        </is>
      </c>
      <c r="B317" t="inlineStr">
        <is>
          <t>Hastane (Kurumsal)</t>
        </is>
      </c>
      <c r="C317" t="inlineStr">
        <is>
          <t>Lead Toplama (Form)</t>
        </is>
      </c>
      <c r="D317" t="n">
        <v>891.77</v>
      </c>
    </row>
    <row r="318">
      <c r="A318" t="inlineStr">
        <is>
          <t>Op.Dr. Abdullah ERTAŞ</t>
        </is>
      </c>
      <c r="B318" t="inlineStr">
        <is>
          <t>Doktor Sayfaları</t>
        </is>
      </c>
      <c r="C318" t="inlineStr">
        <is>
          <t>Instagram Öne Çıkarma</t>
        </is>
      </c>
      <c r="D318" t="n">
        <v>891.63</v>
      </c>
    </row>
    <row r="319">
      <c r="A319" t="inlineStr">
        <is>
          <t>Doruk Hastaneleri</t>
        </is>
      </c>
      <c r="B319" t="inlineStr">
        <is>
          <t>Hastane (Kurumsal)</t>
        </is>
      </c>
      <c r="C319" t="inlineStr">
        <is>
          <t>Lead Toplama (Form)</t>
        </is>
      </c>
      <c r="D319" t="n">
        <v>883.64</v>
      </c>
    </row>
    <row r="320">
      <c r="A320" t="inlineStr">
        <is>
          <t>Doç.Dr. Selin Aktürk Esen</t>
        </is>
      </c>
      <c r="B320" t="inlineStr">
        <is>
          <t>Doktor Sayfaları</t>
        </is>
      </c>
      <c r="C320" t="inlineStr">
        <is>
          <t>Instagram Öne Çıkarma</t>
        </is>
      </c>
      <c r="D320" t="n">
        <v>883.2</v>
      </c>
    </row>
    <row r="321">
      <c r="A321" t="inlineStr">
        <is>
          <t>Doruk Hastaneleri</t>
        </is>
      </c>
      <c r="B321" t="inlineStr">
        <is>
          <t>Hastane (Kurumsal)</t>
        </is>
      </c>
      <c r="C321" t="inlineStr">
        <is>
          <t>Lead Toplama (Form)</t>
        </is>
      </c>
      <c r="D321" t="n">
        <v>883.0599999999999</v>
      </c>
    </row>
    <row r="322">
      <c r="A322" t="inlineStr">
        <is>
          <t>Doruk Hastaneleri</t>
        </is>
      </c>
      <c r="B322" t="inlineStr">
        <is>
          <t>Hastane (Kurumsal)</t>
        </is>
      </c>
      <c r="C322" t="inlineStr">
        <is>
          <t>Marka Bilinirliği (Erişim)</t>
        </is>
      </c>
      <c r="D322" t="n">
        <v>882.4400000000001</v>
      </c>
    </row>
    <row r="323">
      <c r="A323" t="inlineStr">
        <is>
          <t>Doruk Hastaneleri</t>
        </is>
      </c>
      <c r="B323" t="inlineStr">
        <is>
          <t>Hastane (Kurumsal)</t>
        </is>
      </c>
      <c r="C323" t="inlineStr">
        <is>
          <t>Lead Toplama (Form)</t>
        </is>
      </c>
      <c r="D323" t="n">
        <v>880.75</v>
      </c>
    </row>
    <row r="324">
      <c r="A324" t="inlineStr">
        <is>
          <t>Doruk Hastaneleri</t>
        </is>
      </c>
      <c r="B324" t="inlineStr">
        <is>
          <t>Hastane (Kurumsal)</t>
        </is>
      </c>
      <c r="C324" t="inlineStr">
        <is>
          <t>Lead Toplama (Form)</t>
        </is>
      </c>
      <c r="D324" t="n">
        <v>878.53</v>
      </c>
    </row>
    <row r="325">
      <c r="A325" t="inlineStr">
        <is>
          <t>Doruk Hastaneleri</t>
        </is>
      </c>
      <c r="B325" t="inlineStr">
        <is>
          <t>Hastane (Kurumsal)</t>
        </is>
      </c>
      <c r="C325" t="inlineStr">
        <is>
          <t>Instagram Öne Çıkarma</t>
        </is>
      </c>
      <c r="D325" t="n">
        <v>878.4299999999999</v>
      </c>
    </row>
    <row r="326">
      <c r="A326" t="inlineStr">
        <is>
          <t>Doruk Hastaneleri</t>
        </is>
      </c>
      <c r="B326" t="inlineStr">
        <is>
          <t>Hastane (Kurumsal)</t>
        </is>
      </c>
      <c r="C326" t="inlineStr">
        <is>
          <t>Lead Toplama (Form)</t>
        </is>
      </c>
      <c r="D326" t="n">
        <v>876.42</v>
      </c>
    </row>
    <row r="327">
      <c r="A327" t="inlineStr">
        <is>
          <t>Op.Dr. Abdullah ERTAŞ</t>
        </is>
      </c>
      <c r="B327" t="inlineStr">
        <is>
          <t>Doktor Sayfaları</t>
        </is>
      </c>
      <c r="C327" t="inlineStr">
        <is>
          <t>Instagram Öne Çıkarma</t>
        </is>
      </c>
      <c r="D327" t="n">
        <v>875.4299999999999</v>
      </c>
    </row>
    <row r="328">
      <c r="A328" t="inlineStr">
        <is>
          <t>Doruk Hastaneleri</t>
        </is>
      </c>
      <c r="B328" t="inlineStr">
        <is>
          <t>Hastane (Kurumsal)</t>
        </is>
      </c>
      <c r="C328" t="inlineStr">
        <is>
          <t>Lead Toplama (Form)</t>
        </is>
      </c>
      <c r="D328" t="n">
        <v>873.99</v>
      </c>
    </row>
    <row r="329">
      <c r="A329" t="inlineStr">
        <is>
          <t>Doruk Hastaneleri</t>
        </is>
      </c>
      <c r="B329" t="inlineStr">
        <is>
          <t>Hastane (Kurumsal)</t>
        </is>
      </c>
      <c r="C329" t="inlineStr">
        <is>
          <t>Lead Toplama (Form)</t>
        </is>
      </c>
      <c r="D329" t="n">
        <v>866.54</v>
      </c>
    </row>
    <row r="330">
      <c r="A330" t="inlineStr">
        <is>
          <t>Doruk Hastaneleri</t>
        </is>
      </c>
      <c r="B330" t="inlineStr">
        <is>
          <t>Hastane (Kurumsal)</t>
        </is>
      </c>
      <c r="C330" t="inlineStr">
        <is>
          <t>Lead Toplama (Form)</t>
        </is>
      </c>
      <c r="D330" t="n">
        <v>863.74</v>
      </c>
    </row>
    <row r="331">
      <c r="A331" t="inlineStr">
        <is>
          <t>Doruk Hastaneleri</t>
        </is>
      </c>
      <c r="B331" t="inlineStr">
        <is>
          <t>Hastane (Kurumsal)</t>
        </is>
      </c>
      <c r="C331" t="inlineStr">
        <is>
          <t>Lead Toplama (Form)</t>
        </is>
      </c>
      <c r="D331" t="n">
        <v>863.45</v>
      </c>
    </row>
    <row r="332">
      <c r="A332" t="inlineStr">
        <is>
          <t>Doruk Hastaneleri</t>
        </is>
      </c>
      <c r="B332" t="inlineStr">
        <is>
          <t>Hastane (Kurumsal)</t>
        </is>
      </c>
      <c r="C332" t="inlineStr">
        <is>
          <t>Lead Toplama (Form)</t>
        </is>
      </c>
      <c r="D332" t="n">
        <v>861.55</v>
      </c>
    </row>
    <row r="333">
      <c r="A333" t="inlineStr">
        <is>
          <t>Doruk Estetik &amp; Saç Ekimi</t>
        </is>
      </c>
      <c r="B333" t="inlineStr">
        <is>
          <t>Estetik Marka</t>
        </is>
      </c>
      <c r="C333" t="inlineStr">
        <is>
          <t>Instagram Öne Çıkarma</t>
        </is>
      </c>
      <c r="D333" t="n">
        <v>861.3099999999999</v>
      </c>
    </row>
    <row r="334">
      <c r="A334" t="inlineStr">
        <is>
          <t>Doruk Hastaneleri</t>
        </is>
      </c>
      <c r="B334" t="inlineStr">
        <is>
          <t>Hastane (Kurumsal)</t>
        </is>
      </c>
      <c r="C334" t="inlineStr">
        <is>
          <t>Lead Toplama (Form)</t>
        </is>
      </c>
      <c r="D334" t="n">
        <v>856.3099999999999</v>
      </c>
    </row>
    <row r="335">
      <c r="A335" t="inlineStr">
        <is>
          <t>Doruk Hastaneleri</t>
        </is>
      </c>
      <c r="B335" t="inlineStr">
        <is>
          <t>Hastane (Kurumsal)</t>
        </is>
      </c>
      <c r="C335" t="inlineStr">
        <is>
          <t>Instagram Öne Çıkarma</t>
        </is>
      </c>
      <c r="D335" t="n">
        <v>852.38</v>
      </c>
    </row>
    <row r="336">
      <c r="A336" t="inlineStr">
        <is>
          <t>Doruk Hastaneleri</t>
        </is>
      </c>
      <c r="B336" t="inlineStr">
        <is>
          <t>Hastane (Kurumsal)</t>
        </is>
      </c>
      <c r="C336" t="inlineStr">
        <is>
          <t>Lead Toplama (Form)</t>
        </is>
      </c>
      <c r="D336" t="n">
        <v>851.39</v>
      </c>
    </row>
    <row r="337">
      <c r="A337" t="inlineStr">
        <is>
          <t>Op. Dr. Emre Çaycı</t>
        </is>
      </c>
      <c r="B337" t="inlineStr">
        <is>
          <t>Doktor Sayfaları</t>
        </is>
      </c>
      <c r="C337" t="inlineStr">
        <is>
          <t>Instagram Öne Çıkarma</t>
        </is>
      </c>
      <c r="D337" t="n">
        <v>846.3</v>
      </c>
    </row>
    <row r="338">
      <c r="A338" t="inlineStr">
        <is>
          <t>Op.Dr. Abdullah ERTAŞ</t>
        </is>
      </c>
      <c r="B338" t="inlineStr">
        <is>
          <t>Doktor Sayfaları</t>
        </is>
      </c>
      <c r="C338" t="inlineStr">
        <is>
          <t>Instagram Öne Çıkarma</t>
        </is>
      </c>
      <c r="D338" t="n">
        <v>844.29</v>
      </c>
    </row>
    <row r="339">
      <c r="A339" t="inlineStr">
        <is>
          <t>Doruk Hastaneleri</t>
        </is>
      </c>
      <c r="B339" t="inlineStr">
        <is>
          <t>Hastane (Kurumsal)</t>
        </is>
      </c>
      <c r="C339" t="inlineStr">
        <is>
          <t>Instagram Öne Çıkarma</t>
        </is>
      </c>
      <c r="D339" t="n">
        <v>842.24</v>
      </c>
    </row>
    <row r="340">
      <c r="A340" t="inlineStr">
        <is>
          <t>Doruk Hastaneleri</t>
        </is>
      </c>
      <c r="B340" t="inlineStr">
        <is>
          <t>Hastane (Kurumsal)</t>
        </is>
      </c>
      <c r="C340" t="inlineStr">
        <is>
          <t>Lead Toplama (Form)</t>
        </is>
      </c>
      <c r="D340" t="n">
        <v>831.26</v>
      </c>
    </row>
    <row r="341">
      <c r="A341" t="inlineStr">
        <is>
          <t>Op.Dr. Eren Kaya</t>
        </is>
      </c>
      <c r="B341" t="inlineStr">
        <is>
          <t>Doktor Sayfaları</t>
        </is>
      </c>
      <c r="C341" t="inlineStr">
        <is>
          <t>Instagram Öne Çıkarma</t>
        </is>
      </c>
      <c r="D341" t="n">
        <v>829.86</v>
      </c>
    </row>
    <row r="342">
      <c r="A342" t="inlineStr">
        <is>
          <t>Doruk Hastaneleri</t>
        </is>
      </c>
      <c r="B342" t="inlineStr">
        <is>
          <t>Hastane (Kurumsal)</t>
        </is>
      </c>
      <c r="C342" t="inlineStr">
        <is>
          <t>Lead Toplama (Form)</t>
        </is>
      </c>
      <c r="D342" t="n">
        <v>829.13</v>
      </c>
    </row>
    <row r="343">
      <c r="A343" t="inlineStr">
        <is>
          <t>Op.Dr. Abdullah ERTAŞ</t>
        </is>
      </c>
      <c r="B343" t="inlineStr">
        <is>
          <t>Doktor Sayfaları</t>
        </is>
      </c>
      <c r="C343" t="inlineStr">
        <is>
          <t>Instagram Öne Çıkarma</t>
        </is>
      </c>
      <c r="D343" t="n">
        <v>825.95</v>
      </c>
    </row>
    <row r="344">
      <c r="A344" t="inlineStr">
        <is>
          <t>Doruk Hastaneleri</t>
        </is>
      </c>
      <c r="B344" t="inlineStr">
        <is>
          <t>Hastane (Kurumsal)</t>
        </is>
      </c>
      <c r="C344" t="inlineStr">
        <is>
          <t>Marka Bilinirliği (Erişim)</t>
        </is>
      </c>
      <c r="D344" t="n">
        <v>824.79</v>
      </c>
    </row>
    <row r="345">
      <c r="A345" t="inlineStr">
        <is>
          <t>Doruk Hastaneleri</t>
        </is>
      </c>
      <c r="B345" t="inlineStr">
        <is>
          <t>Hastane (Kurumsal)</t>
        </is>
      </c>
      <c r="C345" t="inlineStr">
        <is>
          <t>Lead Toplama (Form)</t>
        </is>
      </c>
      <c r="D345" t="n">
        <v>821.66</v>
      </c>
    </row>
    <row r="346">
      <c r="A346" t="inlineStr">
        <is>
          <t>Doruk Hastaneleri</t>
        </is>
      </c>
      <c r="B346" t="inlineStr">
        <is>
          <t>Hastane (Kurumsal)</t>
        </is>
      </c>
      <c r="C346" t="inlineStr">
        <is>
          <t>Instagram Öne Çıkarma</t>
        </is>
      </c>
      <c r="D346" t="n">
        <v>820.58</v>
      </c>
    </row>
    <row r="347">
      <c r="A347" t="inlineStr">
        <is>
          <t>Doruk Hastaneleri</t>
        </is>
      </c>
      <c r="B347" t="inlineStr">
        <is>
          <t>Hastane (Kurumsal)</t>
        </is>
      </c>
      <c r="C347" t="inlineStr">
        <is>
          <t>Instagram Öne Çıkarma</t>
        </is>
      </c>
      <c r="D347" t="n">
        <v>817.73</v>
      </c>
    </row>
    <row r="348">
      <c r="A348" t="inlineStr">
        <is>
          <t>Doruk Hastaneleri</t>
        </is>
      </c>
      <c r="B348" t="inlineStr">
        <is>
          <t>Hastane (Kurumsal)</t>
        </is>
      </c>
      <c r="C348" t="inlineStr">
        <is>
          <t>Instagram Öne Çıkarma</t>
        </is>
      </c>
      <c r="D348" t="n">
        <v>814.1900000000001</v>
      </c>
    </row>
    <row r="349">
      <c r="A349" t="inlineStr">
        <is>
          <t>Doruk Hastaneleri</t>
        </is>
      </c>
      <c r="B349" t="inlineStr">
        <is>
          <t>Hastane (Kurumsal)</t>
        </is>
      </c>
      <c r="C349" t="inlineStr">
        <is>
          <t>Lead Toplama (Form)</t>
        </is>
      </c>
      <c r="D349" t="n">
        <v>814.17</v>
      </c>
    </row>
    <row r="350">
      <c r="A350" t="inlineStr">
        <is>
          <t>Doruk Hastaneleri</t>
        </is>
      </c>
      <c r="B350" t="inlineStr">
        <is>
          <t>Hastane (Kurumsal)</t>
        </is>
      </c>
      <c r="C350" t="inlineStr">
        <is>
          <t>Lead Toplama (Form)</t>
        </is>
      </c>
      <c r="D350" t="n">
        <v>813.54</v>
      </c>
    </row>
    <row r="351">
      <c r="A351" t="inlineStr">
        <is>
          <t>Doruk Hastaneleri</t>
        </is>
      </c>
      <c r="B351" t="inlineStr">
        <is>
          <t>Hastane (Kurumsal)</t>
        </is>
      </c>
      <c r="C351" t="inlineStr">
        <is>
          <t>Marka Bilinirliği (Erişim)</t>
        </is>
      </c>
      <c r="D351" t="n">
        <v>812.9299999999999</v>
      </c>
    </row>
    <row r="352">
      <c r="A352" t="inlineStr">
        <is>
          <t>Doruk Hastaneleri</t>
        </is>
      </c>
      <c r="B352" t="inlineStr">
        <is>
          <t>Hastane (Kurumsal)</t>
        </is>
      </c>
      <c r="C352" t="inlineStr">
        <is>
          <t>Lead Toplama (Form)</t>
        </is>
      </c>
      <c r="D352" t="n">
        <v>801.45</v>
      </c>
    </row>
    <row r="353">
      <c r="A353" t="inlineStr">
        <is>
          <t>Doruk Hastaneleri</t>
        </is>
      </c>
      <c r="B353" t="inlineStr">
        <is>
          <t>Hastane (Kurumsal)</t>
        </is>
      </c>
      <c r="C353" t="inlineStr">
        <is>
          <t>Lead Toplama (Form)</t>
        </is>
      </c>
      <c r="D353" t="n">
        <v>793.0700000000001</v>
      </c>
    </row>
    <row r="354">
      <c r="A354" t="inlineStr">
        <is>
          <t>Doruk Hastaneleri</t>
        </is>
      </c>
      <c r="B354" t="inlineStr">
        <is>
          <t>Hastane (Kurumsal)</t>
        </is>
      </c>
      <c r="C354" t="inlineStr">
        <is>
          <t>Lead Toplama (Form)</t>
        </is>
      </c>
      <c r="D354" t="n">
        <v>790.25</v>
      </c>
    </row>
    <row r="355">
      <c r="A355" t="inlineStr">
        <is>
          <t>Doruk Estetik &amp; Saç Ekimi</t>
        </is>
      </c>
      <c r="B355" t="inlineStr">
        <is>
          <t>Estetik Marka</t>
        </is>
      </c>
      <c r="C355" t="inlineStr">
        <is>
          <t>Instagram Öne Çıkarma</t>
        </is>
      </c>
      <c r="D355" t="n">
        <v>785.3</v>
      </c>
    </row>
    <row r="356">
      <c r="A356" t="inlineStr">
        <is>
          <t>Doç.Dr. Selin Aktürk Esen</t>
        </is>
      </c>
      <c r="B356" t="inlineStr">
        <is>
          <t>Doktor Sayfaları</t>
        </is>
      </c>
      <c r="C356" t="inlineStr">
        <is>
          <t>Instagram Öne Çıkarma</t>
        </is>
      </c>
      <c r="D356" t="n">
        <v>782.34</v>
      </c>
    </row>
    <row r="357">
      <c r="A357" t="inlineStr">
        <is>
          <t>Doruk Hastaneleri</t>
        </is>
      </c>
      <c r="B357" t="inlineStr">
        <is>
          <t>Hastane (Kurumsal)</t>
        </is>
      </c>
      <c r="C357" t="inlineStr">
        <is>
          <t>Lead Toplama (Form)</t>
        </is>
      </c>
      <c r="D357" t="n">
        <v>781.66</v>
      </c>
    </row>
    <row r="358">
      <c r="A358" t="inlineStr">
        <is>
          <t>Doruk Estetik &amp; Saç Ekimi</t>
        </is>
      </c>
      <c r="B358" t="inlineStr">
        <is>
          <t>Estetik Marka</t>
        </is>
      </c>
      <c r="C358" t="inlineStr">
        <is>
          <t>Lead Toplama (Form)</t>
        </is>
      </c>
      <c r="D358" t="n">
        <v>781.6</v>
      </c>
    </row>
    <row r="359">
      <c r="A359" t="inlineStr">
        <is>
          <t>Doruk Hastaneleri</t>
        </is>
      </c>
      <c r="B359" t="inlineStr">
        <is>
          <t>Hastane (Kurumsal)</t>
        </is>
      </c>
      <c r="C359" t="inlineStr">
        <is>
          <t>Lead Toplama (Form)</t>
        </is>
      </c>
      <c r="D359" t="n">
        <v>781.58</v>
      </c>
    </row>
    <row r="360">
      <c r="A360" t="inlineStr">
        <is>
          <t>Doruk Estetik &amp; Saç Ekimi</t>
        </is>
      </c>
      <c r="B360" t="inlineStr">
        <is>
          <t>Estetik Marka</t>
        </is>
      </c>
      <c r="C360" t="inlineStr">
        <is>
          <t>Instagram Öne Çıkarma</t>
        </is>
      </c>
      <c r="D360" t="n">
        <v>780.14</v>
      </c>
    </row>
    <row r="361">
      <c r="A361" t="inlineStr">
        <is>
          <t>Doruk Hastaneleri</t>
        </is>
      </c>
      <c r="B361" t="inlineStr">
        <is>
          <t>Hastane (Kurumsal)</t>
        </is>
      </c>
      <c r="C361" t="inlineStr">
        <is>
          <t>Marka Bilinirliği (Erişim)</t>
        </is>
      </c>
      <c r="D361" t="n">
        <v>776.67</v>
      </c>
    </row>
    <row r="362">
      <c r="A362" t="inlineStr">
        <is>
          <t>Doruk Estetik &amp; Saç Ekimi</t>
        </is>
      </c>
      <c r="B362" t="inlineStr">
        <is>
          <t>Estetik Marka</t>
        </is>
      </c>
      <c r="C362" t="inlineStr">
        <is>
          <t>Instagram Öne Çıkarma</t>
        </is>
      </c>
      <c r="D362" t="n">
        <v>775.6799999999999</v>
      </c>
    </row>
    <row r="363">
      <c r="A363" t="inlineStr">
        <is>
          <t>Doruk Estetik &amp; Saç Ekimi</t>
        </is>
      </c>
      <c r="B363" t="inlineStr">
        <is>
          <t>Estetik Marka</t>
        </is>
      </c>
      <c r="C363" t="inlineStr">
        <is>
          <t>Instagram Öne Çıkarma</t>
        </is>
      </c>
      <c r="D363" t="n">
        <v>770.24</v>
      </c>
    </row>
    <row r="364">
      <c r="A364" t="inlineStr">
        <is>
          <t>Op. Dr. Emre Çaycı</t>
        </is>
      </c>
      <c r="B364" t="inlineStr">
        <is>
          <t>Doktor Sayfaları</t>
        </is>
      </c>
      <c r="C364" t="inlineStr">
        <is>
          <t>Instagram Öne Çıkarma</t>
        </is>
      </c>
      <c r="D364" t="n">
        <v>769.12</v>
      </c>
    </row>
    <row r="365">
      <c r="A365" t="inlineStr">
        <is>
          <t>Doruk Hastaneleri</t>
        </is>
      </c>
      <c r="B365" t="inlineStr">
        <is>
          <t>Hastane (Kurumsal)</t>
        </is>
      </c>
      <c r="C365" t="inlineStr">
        <is>
          <t>Instagram Öne Çıkarma</t>
        </is>
      </c>
      <c r="D365" t="n">
        <v>766.84</v>
      </c>
    </row>
    <row r="366">
      <c r="A366" t="inlineStr">
        <is>
          <t>Op.Dr. Eren Kaya</t>
        </is>
      </c>
      <c r="B366" t="inlineStr">
        <is>
          <t>Doktor Sayfaları</t>
        </is>
      </c>
      <c r="C366" t="inlineStr">
        <is>
          <t>Instagram Öne Çıkarma</t>
        </is>
      </c>
      <c r="D366" t="n">
        <v>763.14</v>
      </c>
    </row>
    <row r="367">
      <c r="A367" t="inlineStr">
        <is>
          <t>Op.Dr. Abdullah ERTAŞ</t>
        </is>
      </c>
      <c r="B367" t="inlineStr">
        <is>
          <t>Doktor Sayfaları</t>
        </is>
      </c>
      <c r="C367" t="inlineStr">
        <is>
          <t>Instagram Öne Çıkarma</t>
        </is>
      </c>
      <c r="D367" t="n">
        <v>758.59</v>
      </c>
    </row>
    <row r="368">
      <c r="A368" t="inlineStr">
        <is>
          <t>Doruk Estetik &amp; Saç Ekimi</t>
        </is>
      </c>
      <c r="B368" t="inlineStr">
        <is>
          <t>Estetik Marka</t>
        </is>
      </c>
      <c r="C368" t="inlineStr">
        <is>
          <t>Instagram Öne Çıkarma</t>
        </is>
      </c>
      <c r="D368" t="n">
        <v>758.11</v>
      </c>
    </row>
    <row r="369">
      <c r="A369" t="inlineStr">
        <is>
          <t>Doruk Hastaneleri</t>
        </is>
      </c>
      <c r="B369" t="inlineStr">
        <is>
          <t>Hastane (Kurumsal)</t>
        </is>
      </c>
      <c r="C369" t="inlineStr">
        <is>
          <t>Lead Toplama (Form)</t>
        </is>
      </c>
      <c r="D369" t="n">
        <v>757.84</v>
      </c>
    </row>
    <row r="370">
      <c r="A370" t="inlineStr">
        <is>
          <t>Doruk Hastaneleri</t>
        </is>
      </c>
      <c r="B370" t="inlineStr">
        <is>
          <t>Hastane (Kurumsal)</t>
        </is>
      </c>
      <c r="C370" t="inlineStr">
        <is>
          <t>Instagram Öne Çıkarma</t>
        </is>
      </c>
      <c r="D370" t="n">
        <v>755.03</v>
      </c>
    </row>
    <row r="371">
      <c r="A371" t="inlineStr">
        <is>
          <t>Doruk Hastaneleri</t>
        </is>
      </c>
      <c r="B371" t="inlineStr">
        <is>
          <t>Hastane (Kurumsal)</t>
        </is>
      </c>
      <c r="C371" t="inlineStr">
        <is>
          <t>Lead Toplama (Form)</t>
        </is>
      </c>
      <c r="D371" t="n">
        <v>754.75</v>
      </c>
    </row>
    <row r="372">
      <c r="A372" t="inlineStr">
        <is>
          <t>Doruk Hastaneleri</t>
        </is>
      </c>
      <c r="B372" t="inlineStr">
        <is>
          <t>Hastane (Kurumsal)</t>
        </is>
      </c>
      <c r="C372" t="inlineStr">
        <is>
          <t>Lead Toplama (Form)</t>
        </is>
      </c>
      <c r="D372" t="n">
        <v>754.22</v>
      </c>
    </row>
    <row r="373">
      <c r="A373" t="inlineStr">
        <is>
          <t>Doruk Hastaneleri</t>
        </is>
      </c>
      <c r="B373" t="inlineStr">
        <is>
          <t>Hastane (Kurumsal)</t>
        </is>
      </c>
      <c r="C373" t="inlineStr">
        <is>
          <t>Lead Toplama (Form)</t>
        </is>
      </c>
      <c r="D373" t="n">
        <v>753.26</v>
      </c>
    </row>
    <row r="374">
      <c r="A374" t="inlineStr">
        <is>
          <t>Doruk Hastaneleri</t>
        </is>
      </c>
      <c r="B374" t="inlineStr">
        <is>
          <t>Hastane (Kurumsal)</t>
        </is>
      </c>
      <c r="C374" t="inlineStr">
        <is>
          <t>Lead Toplama (Form)</t>
        </is>
      </c>
      <c r="D374" t="n">
        <v>749.17</v>
      </c>
    </row>
    <row r="375">
      <c r="A375" t="inlineStr">
        <is>
          <t>Doruk Hastaneleri</t>
        </is>
      </c>
      <c r="B375" t="inlineStr">
        <is>
          <t>Hastane (Kurumsal)</t>
        </is>
      </c>
      <c r="C375" t="inlineStr">
        <is>
          <t>Lead Toplama (Form)</t>
        </is>
      </c>
      <c r="D375" t="n">
        <v>746.97</v>
      </c>
    </row>
    <row r="376">
      <c r="A376" t="inlineStr">
        <is>
          <t>Doruk Hastaneleri</t>
        </is>
      </c>
      <c r="B376" t="inlineStr">
        <is>
          <t>Hastane (Kurumsal)</t>
        </is>
      </c>
      <c r="C376" t="inlineStr">
        <is>
          <t>Lead Toplama (Form)</t>
        </is>
      </c>
      <c r="D376" t="n">
        <v>745.54</v>
      </c>
    </row>
    <row r="377">
      <c r="A377" t="inlineStr">
        <is>
          <t>Doruk Estetik &amp; Saç Ekimi</t>
        </is>
      </c>
      <c r="B377" t="inlineStr">
        <is>
          <t>Estetik Marka</t>
        </is>
      </c>
      <c r="C377" t="inlineStr">
        <is>
          <t>Lead Toplama (Form)</t>
        </is>
      </c>
      <c r="D377" t="n">
        <v>745.41</v>
      </c>
    </row>
    <row r="378">
      <c r="A378" t="inlineStr">
        <is>
          <t>Op. Dr. Emre Çaycı</t>
        </is>
      </c>
      <c r="B378" t="inlineStr">
        <is>
          <t>Doktor Sayfaları</t>
        </is>
      </c>
      <c r="C378" t="inlineStr">
        <is>
          <t>Instagram Öne Çıkarma</t>
        </is>
      </c>
      <c r="D378" t="n">
        <v>743.7</v>
      </c>
    </row>
    <row r="379">
      <c r="A379" t="inlineStr">
        <is>
          <t>Doruk Hastaneleri</t>
        </is>
      </c>
      <c r="B379" t="inlineStr">
        <is>
          <t>Hastane (Kurumsal)</t>
        </is>
      </c>
      <c r="C379" t="inlineStr">
        <is>
          <t>Lead Toplama (Form)</t>
        </is>
      </c>
      <c r="D379" t="n">
        <v>741.58</v>
      </c>
    </row>
    <row r="380">
      <c r="A380" t="inlineStr">
        <is>
          <t>Op. Dr. Emre Çaycı</t>
        </is>
      </c>
      <c r="B380" t="inlineStr">
        <is>
          <t>Doktor Sayfaları</t>
        </is>
      </c>
      <c r="C380" t="inlineStr">
        <is>
          <t>Instagram Öne Çıkarma</t>
        </is>
      </c>
      <c r="D380" t="n">
        <v>736.09</v>
      </c>
    </row>
    <row r="381">
      <c r="A381" t="inlineStr">
        <is>
          <t>Doruk Hastaneleri</t>
        </is>
      </c>
      <c r="B381" t="inlineStr">
        <is>
          <t>Hastane (Kurumsal)</t>
        </is>
      </c>
      <c r="C381" t="inlineStr">
        <is>
          <t>Lead Toplama (Form)</t>
        </is>
      </c>
      <c r="D381" t="n">
        <v>732.37</v>
      </c>
    </row>
    <row r="382">
      <c r="A382" t="inlineStr">
        <is>
          <t>Doruk Hastaneleri</t>
        </is>
      </c>
      <c r="B382" t="inlineStr">
        <is>
          <t>Hastane (Kurumsal)</t>
        </is>
      </c>
      <c r="C382" t="inlineStr">
        <is>
          <t>Instagram Öne Çıkarma</t>
        </is>
      </c>
      <c r="D382" t="n">
        <v>727.36</v>
      </c>
    </row>
    <row r="383">
      <c r="A383" t="inlineStr">
        <is>
          <t>Op. Dr. Emre Çaycı</t>
        </is>
      </c>
      <c r="B383" t="inlineStr">
        <is>
          <t>Doktor Sayfaları</t>
        </is>
      </c>
      <c r="C383" t="inlineStr">
        <is>
          <t>Instagram Öne Çıkarma</t>
        </is>
      </c>
      <c r="D383" t="n">
        <v>725.6799999999999</v>
      </c>
    </row>
    <row r="384">
      <c r="A384" t="inlineStr">
        <is>
          <t>Doruk Hastaneleri</t>
        </is>
      </c>
      <c r="B384" t="inlineStr">
        <is>
          <t>Hastane (Kurumsal)</t>
        </is>
      </c>
      <c r="C384" t="inlineStr">
        <is>
          <t>Marka Bilinirliği (Erişim)</t>
        </is>
      </c>
      <c r="D384" t="n">
        <v>725.66</v>
      </c>
    </row>
    <row r="385">
      <c r="A385" t="inlineStr">
        <is>
          <t>Doruk Hastaneleri</t>
        </is>
      </c>
      <c r="B385" t="inlineStr">
        <is>
          <t>Hastane (Kurumsal)</t>
        </is>
      </c>
      <c r="C385" t="inlineStr">
        <is>
          <t>Lead Toplama (Form)</t>
        </is>
      </c>
      <c r="D385" t="n">
        <v>720.1900000000001</v>
      </c>
    </row>
    <row r="386">
      <c r="A386" t="inlineStr">
        <is>
          <t>Doruk Hastaneleri</t>
        </is>
      </c>
      <c r="B386" t="inlineStr">
        <is>
          <t>Hastane (Kurumsal)</t>
        </is>
      </c>
      <c r="C386" t="inlineStr">
        <is>
          <t>Lead Toplama (Form)</t>
        </is>
      </c>
      <c r="D386" t="n">
        <v>717.49</v>
      </c>
    </row>
    <row r="387">
      <c r="A387" t="inlineStr">
        <is>
          <t>Op.Dr. Abdullah ERTAŞ</t>
        </is>
      </c>
      <c r="B387" t="inlineStr">
        <is>
          <t>Doktor Sayfaları</t>
        </is>
      </c>
      <c r="C387" t="inlineStr">
        <is>
          <t>Instagram Öne Çıkarma</t>
        </is>
      </c>
      <c r="D387" t="n">
        <v>707.21</v>
      </c>
    </row>
    <row r="388">
      <c r="A388" t="inlineStr">
        <is>
          <t>Doruk Hastaneleri</t>
        </is>
      </c>
      <c r="B388" t="inlineStr">
        <is>
          <t>Hastane (Kurumsal)</t>
        </is>
      </c>
      <c r="C388" t="inlineStr">
        <is>
          <t>Instagram Öne Çıkarma</t>
        </is>
      </c>
      <c r="D388" t="n">
        <v>703.16</v>
      </c>
    </row>
    <row r="389">
      <c r="A389" t="inlineStr">
        <is>
          <t>Doruk Hastaneleri</t>
        </is>
      </c>
      <c r="B389" t="inlineStr">
        <is>
          <t>Hastane (Kurumsal)</t>
        </is>
      </c>
      <c r="C389" t="inlineStr">
        <is>
          <t>Instagram Öne Çıkarma</t>
        </is>
      </c>
      <c r="D389" t="n">
        <v>697.63</v>
      </c>
    </row>
    <row r="390">
      <c r="A390" t="inlineStr">
        <is>
          <t>Doruk Hastaneleri</t>
        </is>
      </c>
      <c r="B390" t="inlineStr">
        <is>
          <t>Hastane (Kurumsal)</t>
        </is>
      </c>
      <c r="C390" t="inlineStr">
        <is>
          <t>Instagram Öne Çıkarma</t>
        </is>
      </c>
      <c r="D390" t="n">
        <v>696.26</v>
      </c>
    </row>
    <row r="391">
      <c r="A391" t="inlineStr">
        <is>
          <t>Doruk Hastaneleri</t>
        </is>
      </c>
      <c r="B391" t="inlineStr">
        <is>
          <t>Hastane (Kurumsal)</t>
        </is>
      </c>
      <c r="C391" t="inlineStr">
        <is>
          <t>Lead Toplama (Form)</t>
        </is>
      </c>
      <c r="D391" t="n">
        <v>695.6900000000001</v>
      </c>
    </row>
    <row r="392">
      <c r="A392" t="inlineStr">
        <is>
          <t>Op.Dr. Abdullah ERTAŞ</t>
        </is>
      </c>
      <c r="B392" t="inlineStr">
        <is>
          <t>Doktor Sayfaları</t>
        </is>
      </c>
      <c r="C392" t="inlineStr">
        <is>
          <t>Instagram Öne Çıkarma</t>
        </is>
      </c>
      <c r="D392" t="n">
        <v>691.39</v>
      </c>
    </row>
    <row r="393">
      <c r="A393" t="inlineStr">
        <is>
          <t>Doruk Hastaneleri</t>
        </is>
      </c>
      <c r="B393" t="inlineStr">
        <is>
          <t>Hastane (Kurumsal)</t>
        </is>
      </c>
      <c r="C393" t="inlineStr">
        <is>
          <t>Lead Toplama (Form)</t>
        </is>
      </c>
      <c r="D393" t="n">
        <v>688.96</v>
      </c>
    </row>
    <row r="394">
      <c r="A394" t="inlineStr">
        <is>
          <t>Doruk Estetik &amp; Saç Ekimi</t>
        </is>
      </c>
      <c r="B394" t="inlineStr">
        <is>
          <t>Estetik Marka</t>
        </is>
      </c>
      <c r="C394" t="inlineStr">
        <is>
          <t>Instagram Öne Çıkarma</t>
        </is>
      </c>
      <c r="D394" t="n">
        <v>685.88</v>
      </c>
    </row>
    <row r="395">
      <c r="A395" t="inlineStr">
        <is>
          <t>Doruk Hastaneleri</t>
        </is>
      </c>
      <c r="B395" t="inlineStr">
        <is>
          <t>Hastane (Kurumsal)</t>
        </is>
      </c>
      <c r="C395" t="inlineStr">
        <is>
          <t>Lead Toplama (Form)</t>
        </is>
      </c>
      <c r="D395" t="n">
        <v>685.45</v>
      </c>
    </row>
    <row r="396">
      <c r="A396" t="inlineStr">
        <is>
          <t>Doruk Hastaneleri</t>
        </is>
      </c>
      <c r="B396" t="inlineStr">
        <is>
          <t>Hastane (Kurumsal)</t>
        </is>
      </c>
      <c r="C396" t="inlineStr">
        <is>
          <t>Lead Toplama (Form)</t>
        </is>
      </c>
      <c r="D396" t="n">
        <v>682.26</v>
      </c>
    </row>
    <row r="397">
      <c r="A397" t="inlineStr">
        <is>
          <t>Op.Dr. Eren Kaya</t>
        </is>
      </c>
      <c r="B397" t="inlineStr">
        <is>
          <t>Doktor Sayfaları</t>
        </is>
      </c>
      <c r="C397" t="inlineStr">
        <is>
          <t>Instagram Öne Çıkarma</t>
        </is>
      </c>
      <c r="D397" t="n">
        <v>680.98</v>
      </c>
    </row>
    <row r="398">
      <c r="A398" t="inlineStr">
        <is>
          <t>Doç.Dr. Selin Aktürk Esen</t>
        </is>
      </c>
      <c r="B398" t="inlineStr">
        <is>
          <t>Doktor Sayfaları</t>
        </is>
      </c>
      <c r="C398" t="inlineStr">
        <is>
          <t>Instagram Öne Çıkarma</t>
        </is>
      </c>
      <c r="D398" t="n">
        <v>676.25</v>
      </c>
    </row>
    <row r="399">
      <c r="A399" t="inlineStr">
        <is>
          <t>Doruk Estetik &amp; Saç Ekimi</t>
        </is>
      </c>
      <c r="B399" t="inlineStr">
        <is>
          <t>Estetik Marka</t>
        </is>
      </c>
      <c r="C399" t="inlineStr">
        <is>
          <t>Instagram Öne Çıkarma</t>
        </is>
      </c>
      <c r="D399" t="n">
        <v>675.71</v>
      </c>
    </row>
    <row r="400">
      <c r="A400" t="inlineStr">
        <is>
          <t>Doruk Hastaneleri</t>
        </is>
      </c>
      <c r="B400" t="inlineStr">
        <is>
          <t>Hastane (Kurumsal)</t>
        </is>
      </c>
      <c r="C400" t="inlineStr">
        <is>
          <t>Lead Toplama (Form)</t>
        </is>
      </c>
      <c r="D400" t="n">
        <v>674.05</v>
      </c>
    </row>
    <row r="401">
      <c r="A401" t="inlineStr">
        <is>
          <t>Doruk Hastaneleri</t>
        </is>
      </c>
      <c r="B401" t="inlineStr">
        <is>
          <t>Hastane (Kurumsal)</t>
        </is>
      </c>
      <c r="C401" t="inlineStr">
        <is>
          <t>Lead Toplama (Form)</t>
        </is>
      </c>
      <c r="D401" t="n">
        <v>672.74</v>
      </c>
    </row>
    <row r="402">
      <c r="A402" t="inlineStr">
        <is>
          <t>Doç.Dr. Selin Aktürk Esen</t>
        </is>
      </c>
      <c r="B402" t="inlineStr">
        <is>
          <t>Doktor Sayfaları</t>
        </is>
      </c>
      <c r="C402" t="inlineStr">
        <is>
          <t>Instagram Öne Çıkarma</t>
        </is>
      </c>
      <c r="D402" t="n">
        <v>672.5599999999999</v>
      </c>
    </row>
    <row r="403">
      <c r="A403" t="inlineStr">
        <is>
          <t>Doruk Estetik &amp; Saç Ekimi</t>
        </is>
      </c>
      <c r="B403" t="inlineStr">
        <is>
          <t>Estetik Marka</t>
        </is>
      </c>
      <c r="C403" t="inlineStr">
        <is>
          <t>Instagram Öne Çıkarma</t>
        </is>
      </c>
      <c r="D403" t="n">
        <v>668.4400000000001</v>
      </c>
    </row>
    <row r="404">
      <c r="A404" t="inlineStr">
        <is>
          <t>Op.Dr. Eren Kaya</t>
        </is>
      </c>
      <c r="B404" t="inlineStr">
        <is>
          <t>Doktor Sayfaları</t>
        </is>
      </c>
      <c r="C404" t="inlineStr">
        <is>
          <t>Instagram Öne Çıkarma</t>
        </is>
      </c>
      <c r="D404" t="n">
        <v>667.15</v>
      </c>
    </row>
    <row r="405">
      <c r="A405" t="inlineStr">
        <is>
          <t>Doruk Hastaneleri</t>
        </is>
      </c>
      <c r="B405" t="inlineStr">
        <is>
          <t>Hastane (Kurumsal)</t>
        </is>
      </c>
      <c r="C405" t="inlineStr">
        <is>
          <t>Marka Bilinirliği (Erişim)</t>
        </is>
      </c>
      <c r="D405" t="n">
        <v>663.13</v>
      </c>
    </row>
    <row r="406">
      <c r="A406" t="inlineStr">
        <is>
          <t>Doruk Hastaneleri</t>
        </is>
      </c>
      <c r="B406" t="inlineStr">
        <is>
          <t>Hastane (Kurumsal)</t>
        </is>
      </c>
      <c r="C406" t="inlineStr">
        <is>
          <t>Marka Bilinirliği (Erişim)</t>
        </is>
      </c>
      <c r="D406" t="n">
        <v>661.38</v>
      </c>
    </row>
    <row r="407">
      <c r="A407" t="inlineStr">
        <is>
          <t>Doç.Dr. Selin Aktürk Esen</t>
        </is>
      </c>
      <c r="B407" t="inlineStr">
        <is>
          <t>Doktor Sayfaları</t>
        </is>
      </c>
      <c r="C407" t="inlineStr">
        <is>
          <t>Instagram Öne Çıkarma</t>
        </is>
      </c>
      <c r="D407" t="n">
        <v>660.08</v>
      </c>
    </row>
    <row r="408">
      <c r="A408" t="inlineStr">
        <is>
          <t>Op.Dr. Eren Kaya</t>
        </is>
      </c>
      <c r="B408" t="inlineStr">
        <is>
          <t>Doktor Sayfaları</t>
        </is>
      </c>
      <c r="C408" t="inlineStr">
        <is>
          <t>Instagram Öne Çıkarma</t>
        </is>
      </c>
      <c r="D408" t="n">
        <v>659.5</v>
      </c>
    </row>
    <row r="409">
      <c r="A409" t="inlineStr">
        <is>
          <t>Doruk Estetik &amp; Saç Ekimi</t>
        </is>
      </c>
      <c r="B409" t="inlineStr">
        <is>
          <t>Estetik Marka</t>
        </is>
      </c>
      <c r="C409" t="inlineStr">
        <is>
          <t>Instagram Öne Çıkarma</t>
        </is>
      </c>
      <c r="D409" t="n">
        <v>655.04</v>
      </c>
    </row>
    <row r="410">
      <c r="A410" t="inlineStr">
        <is>
          <t>Op.Dr. Abdullah ERTAŞ</t>
        </is>
      </c>
      <c r="B410" t="inlineStr">
        <is>
          <t>Doktor Sayfaları</t>
        </is>
      </c>
      <c r="C410" t="inlineStr">
        <is>
          <t>Instagram Öne Çıkarma</t>
        </is>
      </c>
      <c r="D410" t="n">
        <v>652.37</v>
      </c>
    </row>
    <row r="411">
      <c r="A411" t="inlineStr">
        <is>
          <t>Op.Dr. Abdullah ERTAŞ</t>
        </is>
      </c>
      <c r="B411" t="inlineStr">
        <is>
          <t>Doktor Sayfaları</t>
        </is>
      </c>
      <c r="C411" t="inlineStr">
        <is>
          <t>Instagram Öne Çıkarma</t>
        </is>
      </c>
      <c r="D411" t="n">
        <v>650.51</v>
      </c>
    </row>
    <row r="412">
      <c r="A412" t="inlineStr">
        <is>
          <t>Doruk Hastaneleri</t>
        </is>
      </c>
      <c r="B412" t="inlineStr">
        <is>
          <t>Hastane (Kurumsal)</t>
        </is>
      </c>
      <c r="C412" t="inlineStr">
        <is>
          <t>Lead Toplama (Form)</t>
        </is>
      </c>
      <c r="D412" t="n">
        <v>649.54</v>
      </c>
    </row>
    <row r="413">
      <c r="A413" t="inlineStr">
        <is>
          <t>Doruk Hastaneleri</t>
        </is>
      </c>
      <c r="B413" t="inlineStr">
        <is>
          <t>Hastane (Kurumsal)</t>
        </is>
      </c>
      <c r="C413" t="inlineStr">
        <is>
          <t>Instagram Öne Çıkarma</t>
        </is>
      </c>
      <c r="D413" t="n">
        <v>645.35</v>
      </c>
    </row>
    <row r="414">
      <c r="A414" t="inlineStr">
        <is>
          <t>Doruk Estetik &amp; Saç Ekimi</t>
        </is>
      </c>
      <c r="B414" t="inlineStr">
        <is>
          <t>Estetik Marka</t>
        </is>
      </c>
      <c r="C414" t="inlineStr">
        <is>
          <t>Instagram Öne Çıkarma</t>
        </is>
      </c>
      <c r="D414" t="n">
        <v>643.6799999999999</v>
      </c>
    </row>
    <row r="415">
      <c r="A415" t="inlineStr">
        <is>
          <t>Doruk Estetik &amp; Saç Ekimi</t>
        </is>
      </c>
      <c r="B415" t="inlineStr">
        <is>
          <t>Estetik Marka</t>
        </is>
      </c>
      <c r="C415" t="inlineStr">
        <is>
          <t>Instagram Öne Çıkarma</t>
        </is>
      </c>
      <c r="D415" t="n">
        <v>642.72</v>
      </c>
    </row>
    <row r="416">
      <c r="A416" t="inlineStr">
        <is>
          <t>Doç.Dr. Selin Aktürk Esen</t>
        </is>
      </c>
      <c r="B416" t="inlineStr">
        <is>
          <t>Doktor Sayfaları</t>
        </is>
      </c>
      <c r="C416" t="inlineStr">
        <is>
          <t>Instagram Öne Çıkarma</t>
        </is>
      </c>
      <c r="D416" t="n">
        <v>641.24</v>
      </c>
    </row>
    <row r="417">
      <c r="A417" t="inlineStr">
        <is>
          <t>Doruk Estetik &amp; Saç Ekimi</t>
        </is>
      </c>
      <c r="B417" t="inlineStr">
        <is>
          <t>Estetik Marka</t>
        </is>
      </c>
      <c r="C417" t="inlineStr">
        <is>
          <t>Instagram Öne Çıkarma</t>
        </is>
      </c>
      <c r="D417" t="n">
        <v>633.71</v>
      </c>
    </row>
    <row r="418">
      <c r="A418" t="inlineStr">
        <is>
          <t>Doruk Hastaneleri</t>
        </is>
      </c>
      <c r="B418" t="inlineStr">
        <is>
          <t>Hastane (Kurumsal)</t>
        </is>
      </c>
      <c r="C418" t="inlineStr">
        <is>
          <t>Marka Bilinirliği (Erişim)</t>
        </is>
      </c>
      <c r="D418" t="n">
        <v>627.58</v>
      </c>
    </row>
    <row r="419">
      <c r="A419" t="inlineStr">
        <is>
          <t>Doruk Hastaneleri</t>
        </is>
      </c>
      <c r="B419" t="inlineStr">
        <is>
          <t>Hastane (Kurumsal)</t>
        </is>
      </c>
      <c r="C419" t="inlineStr">
        <is>
          <t>Lead Toplama (Form)</t>
        </is>
      </c>
      <c r="D419" t="n">
        <v>626.7</v>
      </c>
    </row>
    <row r="420">
      <c r="A420" t="inlineStr">
        <is>
          <t>Doruk Hastaneleri</t>
        </is>
      </c>
      <c r="B420" t="inlineStr">
        <is>
          <t>Hastane (Kurumsal)</t>
        </is>
      </c>
      <c r="C420" t="inlineStr">
        <is>
          <t>Marka Bilinirliği (Erişim)</t>
        </is>
      </c>
      <c r="D420" t="n">
        <v>626</v>
      </c>
    </row>
    <row r="421">
      <c r="A421" t="inlineStr">
        <is>
          <t>Doruk Hastaneleri</t>
        </is>
      </c>
      <c r="B421" t="inlineStr">
        <is>
          <t>Hastane (Kurumsal)</t>
        </is>
      </c>
      <c r="C421" t="inlineStr">
        <is>
          <t>Marka Bilinirliği (Erişim)</t>
        </is>
      </c>
      <c r="D421" t="n">
        <v>615.6799999999999</v>
      </c>
    </row>
    <row r="422">
      <c r="A422" t="inlineStr">
        <is>
          <t>Op.Dr. Abdullah ERTAŞ</t>
        </is>
      </c>
      <c r="B422" t="inlineStr">
        <is>
          <t>Doktor Sayfaları</t>
        </is>
      </c>
      <c r="C422" t="inlineStr">
        <is>
          <t>Instagram Öne Çıkarma</t>
        </is>
      </c>
      <c r="D422" t="n">
        <v>613.84</v>
      </c>
    </row>
    <row r="423">
      <c r="A423" t="inlineStr">
        <is>
          <t>Doruk Estetik &amp; Saç Ekimi</t>
        </is>
      </c>
      <c r="B423" t="inlineStr">
        <is>
          <t>Estetik Marka</t>
        </is>
      </c>
      <c r="C423" t="inlineStr">
        <is>
          <t>Instagram Öne Çıkarma</t>
        </is>
      </c>
      <c r="D423" t="n">
        <v>611.3</v>
      </c>
    </row>
    <row r="424">
      <c r="A424" t="inlineStr">
        <is>
          <t>Doruk Hastaneleri</t>
        </is>
      </c>
      <c r="B424" t="inlineStr">
        <is>
          <t>Hastane (Kurumsal)</t>
        </is>
      </c>
      <c r="C424" t="inlineStr">
        <is>
          <t>Lead Toplama (Form)</t>
        </is>
      </c>
      <c r="D424" t="n">
        <v>607.53</v>
      </c>
    </row>
    <row r="425">
      <c r="A425" t="inlineStr">
        <is>
          <t>Doruk Hastaneleri</t>
        </is>
      </c>
      <c r="B425" t="inlineStr">
        <is>
          <t>Hastane (Kurumsal)</t>
        </is>
      </c>
      <c r="C425" t="inlineStr">
        <is>
          <t>Instagram Öne Çıkarma</t>
        </is>
      </c>
      <c r="D425" t="n">
        <v>605.9</v>
      </c>
    </row>
    <row r="426">
      <c r="A426" t="inlineStr">
        <is>
          <t>Op.Dr. Abdullah ERTAŞ</t>
        </is>
      </c>
      <c r="B426" t="inlineStr">
        <is>
          <t>Doktor Sayfaları</t>
        </is>
      </c>
      <c r="C426" t="inlineStr">
        <is>
          <t>Instagram Öne Çıkarma</t>
        </is>
      </c>
      <c r="D426" t="n">
        <v>605.53</v>
      </c>
    </row>
    <row r="427">
      <c r="A427" t="inlineStr">
        <is>
          <t>Doruk Hastaneleri</t>
        </is>
      </c>
      <c r="B427" t="inlineStr">
        <is>
          <t>Hastane (Kurumsal)</t>
        </is>
      </c>
      <c r="C427" t="inlineStr">
        <is>
          <t>Lead Toplama (Form)</t>
        </is>
      </c>
      <c r="D427" t="n">
        <v>605.22</v>
      </c>
    </row>
    <row r="428">
      <c r="A428" t="inlineStr">
        <is>
          <t>Doruk Estetik &amp; Saç Ekimi</t>
        </is>
      </c>
      <c r="B428" t="inlineStr">
        <is>
          <t>Estetik Marka</t>
        </is>
      </c>
      <c r="C428" t="inlineStr">
        <is>
          <t>Instagram Öne Çıkarma</t>
        </is>
      </c>
      <c r="D428" t="n">
        <v>604.27</v>
      </c>
    </row>
    <row r="429">
      <c r="A429" t="inlineStr">
        <is>
          <t>Doruk Hastaneleri</t>
        </is>
      </c>
      <c r="B429" t="inlineStr">
        <is>
          <t>Hastane (Kurumsal)</t>
        </is>
      </c>
      <c r="C429" t="inlineStr">
        <is>
          <t>Lead Toplama (Form)</t>
        </is>
      </c>
      <c r="D429" t="n">
        <v>601.6799999999999</v>
      </c>
    </row>
    <row r="430">
      <c r="A430" t="inlineStr">
        <is>
          <t>Doruk Hastaneleri</t>
        </is>
      </c>
      <c r="B430" t="inlineStr">
        <is>
          <t>Hastane (Kurumsal)</t>
        </is>
      </c>
      <c r="C430" t="inlineStr">
        <is>
          <t>Lead Toplama (Form)</t>
        </is>
      </c>
      <c r="D430" t="n">
        <v>601.35</v>
      </c>
    </row>
    <row r="431">
      <c r="A431" t="inlineStr">
        <is>
          <t>Doruk Hastaneleri</t>
        </is>
      </c>
      <c r="B431" t="inlineStr">
        <is>
          <t>Hastane (Kurumsal)</t>
        </is>
      </c>
      <c r="C431" t="inlineStr">
        <is>
          <t>Lead Toplama (Form)</t>
        </is>
      </c>
      <c r="D431" t="n">
        <v>600.92</v>
      </c>
    </row>
    <row r="432">
      <c r="A432" t="inlineStr">
        <is>
          <t>Doruk Hastaneleri</t>
        </is>
      </c>
      <c r="B432" t="inlineStr">
        <is>
          <t>Hastane (Kurumsal)</t>
        </is>
      </c>
      <c r="C432" t="inlineStr">
        <is>
          <t>Lead Toplama (Form)</t>
        </is>
      </c>
      <c r="D432" t="n">
        <v>595.79</v>
      </c>
    </row>
    <row r="433">
      <c r="A433" t="inlineStr">
        <is>
          <t>Op. Dr. Emre Çaycı</t>
        </is>
      </c>
      <c r="B433" t="inlineStr">
        <is>
          <t>Doktor Sayfaları</t>
        </is>
      </c>
      <c r="C433" t="inlineStr">
        <is>
          <t>Instagram Öne Çıkarma</t>
        </is>
      </c>
      <c r="D433" t="n">
        <v>589.64</v>
      </c>
    </row>
    <row r="434">
      <c r="A434" t="inlineStr">
        <is>
          <t>Doruk Estetik &amp; Saç Ekimi</t>
        </is>
      </c>
      <c r="B434" t="inlineStr">
        <is>
          <t>Estetik Marka</t>
        </is>
      </c>
      <c r="C434" t="inlineStr">
        <is>
          <t>Lead Toplama (Form)</t>
        </is>
      </c>
      <c r="D434" t="n">
        <v>589.04</v>
      </c>
    </row>
    <row r="435">
      <c r="A435" t="inlineStr">
        <is>
          <t>Doruk Hastaneleri</t>
        </is>
      </c>
      <c r="B435" t="inlineStr">
        <is>
          <t>Hastane (Kurumsal)</t>
        </is>
      </c>
      <c r="C435" t="inlineStr">
        <is>
          <t>Instagram Öne Çıkarma</t>
        </is>
      </c>
      <c r="D435" t="n">
        <v>587.05</v>
      </c>
    </row>
    <row r="436">
      <c r="A436" t="inlineStr">
        <is>
          <t>Doruk Hastaneleri</t>
        </is>
      </c>
      <c r="B436" t="inlineStr">
        <is>
          <t>Hastane (Kurumsal)</t>
        </is>
      </c>
      <c r="C436" t="inlineStr">
        <is>
          <t>Lead Toplama (Form)</t>
        </is>
      </c>
      <c r="D436" t="n">
        <v>585.6900000000001</v>
      </c>
    </row>
    <row r="437">
      <c r="A437" t="inlineStr">
        <is>
          <t>Doruk Estetik &amp; Saç Ekimi</t>
        </is>
      </c>
      <c r="B437" t="inlineStr">
        <is>
          <t>Estetik Marka</t>
        </is>
      </c>
      <c r="C437" t="inlineStr">
        <is>
          <t>Instagram Öne Çıkarma</t>
        </is>
      </c>
      <c r="D437" t="n">
        <v>581.77</v>
      </c>
    </row>
    <row r="438">
      <c r="A438" t="inlineStr">
        <is>
          <t>Doruk Hastaneleri</t>
        </is>
      </c>
      <c r="B438" t="inlineStr">
        <is>
          <t>Hastane (Kurumsal)</t>
        </is>
      </c>
      <c r="C438" t="inlineStr">
        <is>
          <t>Instagram Öne Çıkarma</t>
        </is>
      </c>
      <c r="D438" t="n">
        <v>579.95</v>
      </c>
    </row>
    <row r="439">
      <c r="A439" t="inlineStr">
        <is>
          <t>Doruk Hastaneleri</t>
        </is>
      </c>
      <c r="B439" t="inlineStr">
        <is>
          <t>Hastane (Kurumsal)</t>
        </is>
      </c>
      <c r="C439" t="inlineStr">
        <is>
          <t>Lead Toplama (Form)</t>
        </is>
      </c>
      <c r="D439" t="n">
        <v>578.8200000000001</v>
      </c>
    </row>
    <row r="440">
      <c r="A440" t="inlineStr">
        <is>
          <t>Doruk Hastaneleri</t>
        </is>
      </c>
      <c r="B440" t="inlineStr">
        <is>
          <t>Hastane (Kurumsal)</t>
        </is>
      </c>
      <c r="C440" t="inlineStr">
        <is>
          <t>Instagram Öne Çıkarma</t>
        </is>
      </c>
      <c r="D440" t="n">
        <v>575.01</v>
      </c>
    </row>
    <row r="441">
      <c r="A441" t="inlineStr">
        <is>
          <t>Doruk Hastaneleri</t>
        </is>
      </c>
      <c r="B441" t="inlineStr">
        <is>
          <t>Hastane (Kurumsal)</t>
        </is>
      </c>
      <c r="C441" t="inlineStr">
        <is>
          <t>Lead Toplama (Form)</t>
        </is>
      </c>
      <c r="D441" t="n">
        <v>573.85</v>
      </c>
    </row>
    <row r="442">
      <c r="A442" t="inlineStr">
        <is>
          <t>Doruk Hastaneleri</t>
        </is>
      </c>
      <c r="B442" t="inlineStr">
        <is>
          <t>Hastane (Kurumsal)</t>
        </is>
      </c>
      <c r="C442" t="inlineStr">
        <is>
          <t>Instagram Öne Çıkarma</t>
        </is>
      </c>
      <c r="D442" t="n">
        <v>572.86</v>
      </c>
    </row>
    <row r="443">
      <c r="A443" t="inlineStr">
        <is>
          <t>Doruk Estetik &amp; Saç Ekimi</t>
        </is>
      </c>
      <c r="B443" t="inlineStr">
        <is>
          <t>Estetik Marka</t>
        </is>
      </c>
      <c r="C443" t="inlineStr">
        <is>
          <t>Instagram Öne Çıkarma</t>
        </is>
      </c>
      <c r="D443" t="n">
        <v>570.3</v>
      </c>
    </row>
    <row r="444">
      <c r="A444" t="inlineStr">
        <is>
          <t>Doruk Hastaneleri</t>
        </is>
      </c>
      <c r="B444" t="inlineStr">
        <is>
          <t>Hastane (Kurumsal)</t>
        </is>
      </c>
      <c r="C444" t="inlineStr">
        <is>
          <t>Lead Toplama (Form)</t>
        </is>
      </c>
      <c r="D444" t="n">
        <v>569.76</v>
      </c>
    </row>
    <row r="445">
      <c r="A445" t="inlineStr">
        <is>
          <t>Doruk Hastaneleri</t>
        </is>
      </c>
      <c r="B445" t="inlineStr">
        <is>
          <t>Hastane (Kurumsal)</t>
        </is>
      </c>
      <c r="C445" t="inlineStr">
        <is>
          <t>Lead Toplama (Form)</t>
        </is>
      </c>
      <c r="D445" t="n">
        <v>566.17</v>
      </c>
    </row>
    <row r="446">
      <c r="A446" t="inlineStr">
        <is>
          <t>Op.Dr. Abdullah ERTAŞ</t>
        </is>
      </c>
      <c r="B446" t="inlineStr">
        <is>
          <t>Doktor Sayfaları</t>
        </is>
      </c>
      <c r="C446" t="inlineStr">
        <is>
          <t>Instagram Öne Çıkarma</t>
        </is>
      </c>
      <c r="D446" t="n">
        <v>564.58</v>
      </c>
    </row>
    <row r="447">
      <c r="A447" t="inlineStr">
        <is>
          <t>Doruk Estetik &amp; Saç Ekimi</t>
        </is>
      </c>
      <c r="B447" t="inlineStr">
        <is>
          <t>Estetik Marka</t>
        </is>
      </c>
      <c r="C447" t="inlineStr">
        <is>
          <t>Instagram Öne Çıkarma</t>
        </is>
      </c>
      <c r="D447" t="n">
        <v>564.1</v>
      </c>
    </row>
    <row r="448">
      <c r="A448" t="inlineStr">
        <is>
          <t>Doruk Estetik &amp; Saç Ekimi</t>
        </is>
      </c>
      <c r="B448" t="inlineStr">
        <is>
          <t>Estetik Marka</t>
        </is>
      </c>
      <c r="C448" t="inlineStr">
        <is>
          <t>Instagram Öne Çıkarma</t>
        </is>
      </c>
      <c r="D448" t="n">
        <v>562.1900000000001</v>
      </c>
    </row>
    <row r="449">
      <c r="A449" t="inlineStr">
        <is>
          <t>Doruk Hastaneleri</t>
        </is>
      </c>
      <c r="B449" t="inlineStr">
        <is>
          <t>Hastane (Kurumsal)</t>
        </is>
      </c>
      <c r="C449" t="inlineStr">
        <is>
          <t>Instagram Öne Çıkarma</t>
        </is>
      </c>
      <c r="D449" t="n">
        <v>559.46</v>
      </c>
    </row>
    <row r="450">
      <c r="A450" t="inlineStr">
        <is>
          <t>Doruk Hastaneleri</t>
        </is>
      </c>
      <c r="B450" t="inlineStr">
        <is>
          <t>Hastane (Kurumsal)</t>
        </is>
      </c>
      <c r="C450" t="inlineStr">
        <is>
          <t>Lead Toplama (Form)</t>
        </is>
      </c>
      <c r="D450" t="n">
        <v>556.6900000000001</v>
      </c>
    </row>
    <row r="451">
      <c r="A451" t="inlineStr">
        <is>
          <t>Doruk Hastaneleri</t>
        </is>
      </c>
      <c r="B451" t="inlineStr">
        <is>
          <t>Hastane (Kurumsal)</t>
        </is>
      </c>
      <c r="C451" t="inlineStr">
        <is>
          <t>Instagram Öne Çıkarma</t>
        </is>
      </c>
      <c r="D451" t="n">
        <v>554.74</v>
      </c>
    </row>
    <row r="452">
      <c r="A452" t="inlineStr">
        <is>
          <t>Op.Dr. Eren Kaya</t>
        </is>
      </c>
      <c r="B452" t="inlineStr">
        <is>
          <t>Doktor Sayfaları</t>
        </is>
      </c>
      <c r="C452" t="inlineStr">
        <is>
          <t>Instagram Öne Çıkarma</t>
        </is>
      </c>
      <c r="D452" t="n">
        <v>549.76</v>
      </c>
    </row>
    <row r="453">
      <c r="A453" t="inlineStr">
        <is>
          <t>Doruk Estetik &amp; Saç Ekimi</t>
        </is>
      </c>
      <c r="B453" t="inlineStr">
        <is>
          <t>Estetik Marka</t>
        </is>
      </c>
      <c r="C453" t="inlineStr">
        <is>
          <t>Instagram Öne Çıkarma</t>
        </is>
      </c>
      <c r="D453" t="n">
        <v>549.1</v>
      </c>
    </row>
    <row r="454">
      <c r="A454" t="inlineStr">
        <is>
          <t>Doruk Hastaneleri</t>
        </is>
      </c>
      <c r="B454" t="inlineStr">
        <is>
          <t>Hastane (Kurumsal)</t>
        </is>
      </c>
      <c r="C454" t="inlineStr">
        <is>
          <t>Lead Toplama (Form)</t>
        </is>
      </c>
      <c r="D454" t="n">
        <v>547.72</v>
      </c>
    </row>
    <row r="455">
      <c r="A455" t="inlineStr">
        <is>
          <t>Doruk Hastaneleri</t>
        </is>
      </c>
      <c r="B455" t="inlineStr">
        <is>
          <t>Hastane (Kurumsal)</t>
        </is>
      </c>
      <c r="C455" t="inlineStr">
        <is>
          <t>Lead Toplama (Form)</t>
        </is>
      </c>
      <c r="D455" t="n">
        <v>547.52</v>
      </c>
    </row>
    <row r="456">
      <c r="A456" t="inlineStr">
        <is>
          <t>Doruk Hastaneleri</t>
        </is>
      </c>
      <c r="B456" t="inlineStr">
        <is>
          <t>Hastane (Kurumsal)</t>
        </is>
      </c>
      <c r="C456" t="inlineStr">
        <is>
          <t>Lead Toplama (Form)</t>
        </is>
      </c>
      <c r="D456" t="n">
        <v>544.96</v>
      </c>
    </row>
    <row r="457">
      <c r="A457" t="inlineStr">
        <is>
          <t>Doruk Hastaneleri</t>
        </is>
      </c>
      <c r="B457" t="inlineStr">
        <is>
          <t>Hastane (Kurumsal)</t>
        </is>
      </c>
      <c r="C457" t="inlineStr">
        <is>
          <t>Lead Toplama (Form)</t>
        </is>
      </c>
      <c r="D457" t="n">
        <v>543.47</v>
      </c>
    </row>
    <row r="458">
      <c r="A458" t="inlineStr">
        <is>
          <t>Doruk Hastaneleri</t>
        </is>
      </c>
      <c r="B458" t="inlineStr">
        <is>
          <t>Hastane (Kurumsal)</t>
        </is>
      </c>
      <c r="C458" t="inlineStr">
        <is>
          <t>Instagram Öne Çıkarma</t>
        </is>
      </c>
      <c r="D458" t="n">
        <v>541.23</v>
      </c>
    </row>
    <row r="459">
      <c r="A459" t="inlineStr">
        <is>
          <t>Doruk Estetik &amp; Saç Ekimi</t>
        </is>
      </c>
      <c r="B459" t="inlineStr">
        <is>
          <t>Estetik Marka</t>
        </is>
      </c>
      <c r="C459" t="inlineStr">
        <is>
          <t>Instagram Öne Çıkarma</t>
        </is>
      </c>
      <c r="D459" t="n">
        <v>540.74</v>
      </c>
    </row>
    <row r="460">
      <c r="A460" t="inlineStr">
        <is>
          <t>Doruk Estetik &amp; Saç Ekimi</t>
        </is>
      </c>
      <c r="B460" t="inlineStr">
        <is>
          <t>Estetik Marka</t>
        </is>
      </c>
      <c r="C460" t="inlineStr">
        <is>
          <t>Instagram Öne Çıkarma</t>
        </is>
      </c>
      <c r="D460" t="n">
        <v>540.6</v>
      </c>
    </row>
    <row r="461">
      <c r="A461" t="inlineStr">
        <is>
          <t>Doruk Hastaneleri</t>
        </is>
      </c>
      <c r="B461" t="inlineStr">
        <is>
          <t>Hastane (Kurumsal)</t>
        </is>
      </c>
      <c r="C461" t="inlineStr">
        <is>
          <t>Lead Toplama (Form)</t>
        </is>
      </c>
      <c r="D461" t="n">
        <v>534.36</v>
      </c>
    </row>
    <row r="462">
      <c r="A462" t="inlineStr">
        <is>
          <t>Doruk Estetik &amp; Saç Ekimi</t>
        </is>
      </c>
      <c r="B462" t="inlineStr">
        <is>
          <t>Estetik Marka</t>
        </is>
      </c>
      <c r="C462" t="inlineStr">
        <is>
          <t>Instagram Öne Çıkarma</t>
        </is>
      </c>
      <c r="D462" t="n">
        <v>533.6900000000001</v>
      </c>
    </row>
    <row r="463">
      <c r="A463" t="inlineStr">
        <is>
          <t>Doruk Hastaneleri</t>
        </is>
      </c>
      <c r="B463" t="inlineStr">
        <is>
          <t>Hastane (Kurumsal)</t>
        </is>
      </c>
      <c r="C463" t="inlineStr">
        <is>
          <t>Lead Toplama (Form)</t>
        </is>
      </c>
      <c r="D463" t="n">
        <v>530.3200000000001</v>
      </c>
    </row>
    <row r="464">
      <c r="A464" t="inlineStr">
        <is>
          <t>Doruk Hastaneleri</t>
        </is>
      </c>
      <c r="B464" t="inlineStr">
        <is>
          <t>Hastane (Kurumsal)</t>
        </is>
      </c>
      <c r="C464" t="inlineStr">
        <is>
          <t>Instagram Öne Çıkarma</t>
        </is>
      </c>
      <c r="D464" t="n">
        <v>528.78</v>
      </c>
    </row>
    <row r="465">
      <c r="A465" t="inlineStr">
        <is>
          <t>Doruk Estetik &amp; Saç Ekimi</t>
        </is>
      </c>
      <c r="B465" t="inlineStr">
        <is>
          <t>Estetik Marka</t>
        </is>
      </c>
      <c r="C465" t="inlineStr">
        <is>
          <t>Instagram Öne Çıkarma</t>
        </is>
      </c>
      <c r="D465" t="n">
        <v>525.95</v>
      </c>
    </row>
    <row r="466">
      <c r="A466" t="inlineStr">
        <is>
          <t>Doruk Hastaneleri</t>
        </is>
      </c>
      <c r="B466" t="inlineStr">
        <is>
          <t>Hastane (Kurumsal)</t>
        </is>
      </c>
      <c r="C466" t="inlineStr">
        <is>
          <t>Lead Toplama (Form)</t>
        </is>
      </c>
      <c r="D466" t="n">
        <v>524.6</v>
      </c>
    </row>
    <row r="467">
      <c r="A467" t="inlineStr">
        <is>
          <t>Doruk Estetik &amp; Saç Ekimi</t>
        </is>
      </c>
      <c r="B467" t="inlineStr">
        <is>
          <t>Estetik Marka</t>
        </is>
      </c>
      <c r="C467" t="inlineStr">
        <is>
          <t>Instagram Öne Çıkarma</t>
        </is>
      </c>
      <c r="D467" t="n">
        <v>524.15</v>
      </c>
    </row>
    <row r="468">
      <c r="A468" t="inlineStr">
        <is>
          <t>Doruk Estetik &amp; Saç Ekimi</t>
        </is>
      </c>
      <c r="B468" t="inlineStr">
        <is>
          <t>Estetik Marka</t>
        </is>
      </c>
      <c r="C468" t="inlineStr">
        <is>
          <t>Instagram Öne Çıkarma</t>
        </is>
      </c>
      <c r="D468" t="n">
        <v>523.61</v>
      </c>
    </row>
    <row r="469">
      <c r="A469" t="inlineStr">
        <is>
          <t>Doruk Hastaneleri</t>
        </is>
      </c>
      <c r="B469" t="inlineStr">
        <is>
          <t>Hastane (Kurumsal)</t>
        </is>
      </c>
      <c r="C469" t="inlineStr">
        <is>
          <t>Lead Toplama (Form)</t>
        </is>
      </c>
      <c r="D469" t="n">
        <v>522.78</v>
      </c>
    </row>
    <row r="470">
      <c r="A470" t="inlineStr">
        <is>
          <t>Doruk Hastaneleri</t>
        </is>
      </c>
      <c r="B470" t="inlineStr">
        <is>
          <t>Hastane (Kurumsal)</t>
        </is>
      </c>
      <c r="C470" t="inlineStr">
        <is>
          <t>Lead Toplama (Form)</t>
        </is>
      </c>
      <c r="D470" t="n">
        <v>522.38</v>
      </c>
    </row>
    <row r="471">
      <c r="A471" t="inlineStr">
        <is>
          <t>Doruk Hastaneleri</t>
        </is>
      </c>
      <c r="B471" t="inlineStr">
        <is>
          <t>Hastane (Kurumsal)</t>
        </is>
      </c>
      <c r="C471" t="inlineStr">
        <is>
          <t>Lead Toplama (Form)</t>
        </is>
      </c>
      <c r="D471" t="n">
        <v>519.86</v>
      </c>
    </row>
    <row r="472">
      <c r="A472" t="inlineStr">
        <is>
          <t>Doruk Estetik &amp; Saç Ekimi</t>
        </is>
      </c>
      <c r="B472" t="inlineStr">
        <is>
          <t>Estetik Marka</t>
        </is>
      </c>
      <c r="C472" t="inlineStr">
        <is>
          <t>Instagram Öne Çıkarma</t>
        </is>
      </c>
      <c r="D472" t="n">
        <v>518.64</v>
      </c>
    </row>
    <row r="473">
      <c r="A473" t="inlineStr">
        <is>
          <t>Doruk Hastaneleri</t>
        </is>
      </c>
      <c r="B473" t="inlineStr">
        <is>
          <t>Hastane (Kurumsal)</t>
        </is>
      </c>
      <c r="C473" t="inlineStr">
        <is>
          <t>Lead Toplama (Form)</t>
        </is>
      </c>
      <c r="D473" t="n">
        <v>517.17</v>
      </c>
    </row>
    <row r="474">
      <c r="A474" t="inlineStr">
        <is>
          <t>Doruk Estetik &amp; Saç Ekimi</t>
        </is>
      </c>
      <c r="B474" t="inlineStr">
        <is>
          <t>Estetik Marka</t>
        </is>
      </c>
      <c r="C474" t="inlineStr">
        <is>
          <t>Instagram Öne Çıkarma</t>
        </is>
      </c>
      <c r="D474" t="n">
        <v>516.7</v>
      </c>
    </row>
    <row r="475">
      <c r="A475" t="inlineStr">
        <is>
          <t>Doruk Estetik &amp; Saç Ekimi</t>
        </is>
      </c>
      <c r="B475" t="inlineStr">
        <is>
          <t>Estetik Marka</t>
        </is>
      </c>
      <c r="C475" t="inlineStr">
        <is>
          <t>Instagram Öne Çıkarma</t>
        </is>
      </c>
      <c r="D475" t="n">
        <v>516.08</v>
      </c>
    </row>
    <row r="476">
      <c r="A476" t="inlineStr">
        <is>
          <t>Doruk Hastaneleri</t>
        </is>
      </c>
      <c r="B476" t="inlineStr">
        <is>
          <t>Hastane (Kurumsal)</t>
        </is>
      </c>
      <c r="C476" t="inlineStr">
        <is>
          <t>Lead Toplama (Form)</t>
        </is>
      </c>
      <c r="D476" t="n">
        <v>515.5</v>
      </c>
    </row>
    <row r="477">
      <c r="A477" t="inlineStr">
        <is>
          <t>Doruk Estetik &amp; Saç Ekimi</t>
        </is>
      </c>
      <c r="B477" t="inlineStr">
        <is>
          <t>Estetik Marka</t>
        </is>
      </c>
      <c r="C477" t="inlineStr">
        <is>
          <t>Instagram Öne Çıkarma</t>
        </is>
      </c>
      <c r="D477" t="n">
        <v>515.1900000000001</v>
      </c>
    </row>
    <row r="478">
      <c r="A478" t="inlineStr">
        <is>
          <t>Doruk Estetik &amp; Saç Ekimi</t>
        </is>
      </c>
      <c r="B478" t="inlineStr">
        <is>
          <t>Estetik Marka</t>
        </is>
      </c>
      <c r="C478" t="inlineStr">
        <is>
          <t>Instagram Öne Çıkarma</t>
        </is>
      </c>
      <c r="D478" t="n">
        <v>512.61</v>
      </c>
    </row>
    <row r="479">
      <c r="A479" t="inlineStr">
        <is>
          <t>Doruk Estetik &amp; Saç Ekimi</t>
        </is>
      </c>
      <c r="B479" t="inlineStr">
        <is>
          <t>Estetik Marka</t>
        </is>
      </c>
      <c r="C479" t="inlineStr">
        <is>
          <t>Instagram Öne Çıkarma</t>
        </is>
      </c>
      <c r="D479" t="n">
        <v>509.32</v>
      </c>
    </row>
    <row r="480">
      <c r="A480" t="inlineStr">
        <is>
          <t>Doruk Estetik &amp; Saç Ekimi</t>
        </is>
      </c>
      <c r="B480" t="inlineStr">
        <is>
          <t>Estetik Marka</t>
        </is>
      </c>
      <c r="C480" t="inlineStr">
        <is>
          <t>Instagram Öne Çıkarma</t>
        </is>
      </c>
      <c r="D480" t="n">
        <v>506.18</v>
      </c>
    </row>
    <row r="481">
      <c r="A481" t="inlineStr">
        <is>
          <t>Doruk Hastaneleri</t>
        </is>
      </c>
      <c r="B481" t="inlineStr">
        <is>
          <t>Hastane (Kurumsal)</t>
        </is>
      </c>
      <c r="C481" t="inlineStr">
        <is>
          <t>Lead Toplama (Form)</t>
        </is>
      </c>
      <c r="D481" t="n">
        <v>496.3</v>
      </c>
    </row>
    <row r="482">
      <c r="A482" t="inlineStr">
        <is>
          <t>Doruk Estetik &amp; Saç Ekimi</t>
        </is>
      </c>
      <c r="B482" t="inlineStr">
        <is>
          <t>Estetik Marka</t>
        </is>
      </c>
      <c r="C482" t="inlineStr">
        <is>
          <t>Instagram Öne Çıkarma</t>
        </is>
      </c>
      <c r="D482" t="n">
        <v>495.38</v>
      </c>
    </row>
    <row r="483">
      <c r="A483" t="inlineStr">
        <is>
          <t>Doruk Estetik &amp; Saç Ekimi</t>
        </is>
      </c>
      <c r="B483" t="inlineStr">
        <is>
          <t>Estetik Marka</t>
        </is>
      </c>
      <c r="C483" t="inlineStr">
        <is>
          <t>Instagram Öne Çıkarma</t>
        </is>
      </c>
      <c r="D483" t="n">
        <v>494.61</v>
      </c>
    </row>
    <row r="484">
      <c r="A484" t="inlineStr">
        <is>
          <t>Doruk Estetik &amp; Saç Ekimi</t>
        </is>
      </c>
      <c r="B484" t="inlineStr">
        <is>
          <t>Estetik Marka</t>
        </is>
      </c>
      <c r="C484" t="inlineStr">
        <is>
          <t>Instagram Öne Çıkarma</t>
        </is>
      </c>
      <c r="D484" t="n">
        <v>493.94</v>
      </c>
    </row>
    <row r="485">
      <c r="A485" t="inlineStr">
        <is>
          <t>Doruk Estetik &amp; Saç Ekimi</t>
        </is>
      </c>
      <c r="B485" t="inlineStr">
        <is>
          <t>Estetik Marka</t>
        </is>
      </c>
      <c r="C485" t="inlineStr">
        <is>
          <t>Instagram Öne Çıkarma</t>
        </is>
      </c>
      <c r="D485" t="n">
        <v>492.61</v>
      </c>
    </row>
    <row r="486">
      <c r="A486" t="inlineStr">
        <is>
          <t>Doruk Hastaneleri</t>
        </is>
      </c>
      <c r="B486" t="inlineStr">
        <is>
          <t>Hastane (Kurumsal)</t>
        </is>
      </c>
      <c r="C486" t="inlineStr">
        <is>
          <t>Marka Bilinirliği (Erişim)</t>
        </is>
      </c>
      <c r="D486" t="n">
        <v>490.19</v>
      </c>
    </row>
    <row r="487">
      <c r="A487" t="inlineStr">
        <is>
          <t>Doruk Hastaneleri</t>
        </is>
      </c>
      <c r="B487" t="inlineStr">
        <is>
          <t>Hastane (Kurumsal)</t>
        </is>
      </c>
      <c r="C487" t="inlineStr">
        <is>
          <t>Lead Toplama (Form)</t>
        </is>
      </c>
      <c r="D487" t="n">
        <v>489.49</v>
      </c>
    </row>
    <row r="488">
      <c r="A488" t="inlineStr">
        <is>
          <t>Doruk Estetik &amp; Saç Ekimi</t>
        </is>
      </c>
      <c r="B488" t="inlineStr">
        <is>
          <t>Estetik Marka</t>
        </is>
      </c>
      <c r="C488" t="inlineStr">
        <is>
          <t>Instagram Öne Çıkarma</t>
        </is>
      </c>
      <c r="D488" t="n">
        <v>489.24</v>
      </c>
    </row>
    <row r="489">
      <c r="A489" t="inlineStr">
        <is>
          <t>Doruk Hastaneleri</t>
        </is>
      </c>
      <c r="B489" t="inlineStr">
        <is>
          <t>Hastane (Kurumsal)</t>
        </is>
      </c>
      <c r="C489" t="inlineStr">
        <is>
          <t>Lead Toplama (Form)</t>
        </is>
      </c>
      <c r="D489" t="n">
        <v>484.5</v>
      </c>
    </row>
    <row r="490">
      <c r="A490" t="inlineStr">
        <is>
          <t>Doruk Hastaneleri</t>
        </is>
      </c>
      <c r="B490" t="inlineStr">
        <is>
          <t>Hastane (Kurumsal)</t>
        </is>
      </c>
      <c r="C490" t="inlineStr">
        <is>
          <t>Lead Toplama (Form)</t>
        </is>
      </c>
      <c r="D490" t="n">
        <v>483.59</v>
      </c>
    </row>
    <row r="491">
      <c r="A491" t="inlineStr">
        <is>
          <t>Doruk Hastaneleri</t>
        </is>
      </c>
      <c r="B491" t="inlineStr">
        <is>
          <t>Hastane (Kurumsal)</t>
        </is>
      </c>
      <c r="C491" t="inlineStr">
        <is>
          <t>Lead Toplama (Form)</t>
        </is>
      </c>
      <c r="D491" t="n">
        <v>481.26</v>
      </c>
    </row>
    <row r="492">
      <c r="A492" t="inlineStr">
        <is>
          <t>Doruk Estetik &amp; Saç Ekimi</t>
        </is>
      </c>
      <c r="B492" t="inlineStr">
        <is>
          <t>Estetik Marka</t>
        </is>
      </c>
      <c r="C492" t="inlineStr">
        <is>
          <t>Instagram Öne Çıkarma</t>
        </is>
      </c>
      <c r="D492" t="n">
        <v>477.84</v>
      </c>
    </row>
    <row r="493">
      <c r="A493" t="inlineStr">
        <is>
          <t>Op. Dr. Emre Çaycı</t>
        </is>
      </c>
      <c r="B493" t="inlineStr">
        <is>
          <t>Doktor Sayfaları</t>
        </is>
      </c>
      <c r="C493" t="inlineStr">
        <is>
          <t>Instagram Öne Çıkarma</t>
        </is>
      </c>
      <c r="D493" t="n">
        <v>468.78</v>
      </c>
    </row>
    <row r="494">
      <c r="A494" t="inlineStr">
        <is>
          <t>Op.Dr. Eren Kaya</t>
        </is>
      </c>
      <c r="B494" t="inlineStr">
        <is>
          <t>Doktor Sayfaları</t>
        </is>
      </c>
      <c r="C494" t="inlineStr">
        <is>
          <t>Instagram Öne Çıkarma</t>
        </is>
      </c>
      <c r="D494" t="n">
        <v>467.4</v>
      </c>
    </row>
    <row r="495">
      <c r="A495" t="inlineStr">
        <is>
          <t>Doruk Hastaneleri</t>
        </is>
      </c>
      <c r="B495" t="inlineStr">
        <is>
          <t>Hastane (Kurumsal)</t>
        </is>
      </c>
      <c r="C495" t="inlineStr">
        <is>
          <t>Lead Toplama (Form)</t>
        </is>
      </c>
      <c r="D495" t="n">
        <v>464.87</v>
      </c>
    </row>
    <row r="496">
      <c r="A496" t="inlineStr">
        <is>
          <t>Doruk Estetik &amp; Saç Ekimi</t>
        </is>
      </c>
      <c r="B496" t="inlineStr">
        <is>
          <t>Estetik Marka</t>
        </is>
      </c>
      <c r="C496" t="inlineStr">
        <is>
          <t>Instagram Öne Çıkarma</t>
        </is>
      </c>
      <c r="D496" t="n">
        <v>457.54</v>
      </c>
    </row>
    <row r="497">
      <c r="A497" t="inlineStr">
        <is>
          <t>Doruk Hastaneleri</t>
        </is>
      </c>
      <c r="B497" t="inlineStr">
        <is>
          <t>Hastane (Kurumsal)</t>
        </is>
      </c>
      <c r="C497" t="inlineStr">
        <is>
          <t>Instagram Öne Çıkarma</t>
        </is>
      </c>
      <c r="D497" t="n">
        <v>453.59</v>
      </c>
    </row>
    <row r="498">
      <c r="A498" t="inlineStr">
        <is>
          <t>Doruk Hastaneleri</t>
        </is>
      </c>
      <c r="B498" t="inlineStr">
        <is>
          <t>Hastane (Kurumsal)</t>
        </is>
      </c>
      <c r="C498" t="inlineStr">
        <is>
          <t>Lead Toplama (Form)</t>
        </is>
      </c>
      <c r="D498" t="n">
        <v>452.09</v>
      </c>
    </row>
    <row r="499">
      <c r="A499" t="inlineStr">
        <is>
          <t>Doruk Hastaneleri</t>
        </is>
      </c>
      <c r="B499" t="inlineStr">
        <is>
          <t>Hastane (Kurumsal)</t>
        </is>
      </c>
      <c r="C499" t="inlineStr">
        <is>
          <t>Lead Toplama (Form)</t>
        </is>
      </c>
      <c r="D499" t="n">
        <v>449.47</v>
      </c>
    </row>
    <row r="500">
      <c r="A500" t="inlineStr">
        <is>
          <t>Doruk Estetik &amp; Saç Ekimi</t>
        </is>
      </c>
      <c r="B500" t="inlineStr">
        <is>
          <t>Estetik Marka</t>
        </is>
      </c>
      <c r="C500" t="inlineStr">
        <is>
          <t>Instagram Öne Çıkarma</t>
        </is>
      </c>
      <c r="D500" t="n">
        <v>446.37</v>
      </c>
    </row>
    <row r="501">
      <c r="A501" t="inlineStr">
        <is>
          <t>Doruk Hastaneleri</t>
        </is>
      </c>
      <c r="B501" t="inlineStr">
        <is>
          <t>Hastane (Kurumsal)</t>
        </is>
      </c>
      <c r="C501" t="inlineStr">
        <is>
          <t>Lead Toplama (Form)</t>
        </is>
      </c>
      <c r="D501" t="n">
        <v>445.64</v>
      </c>
    </row>
    <row r="502">
      <c r="A502" t="inlineStr">
        <is>
          <t>Doruk Hastaneleri</t>
        </is>
      </c>
      <c r="B502" t="inlineStr">
        <is>
          <t>Hastane (Kurumsal)</t>
        </is>
      </c>
      <c r="C502" t="inlineStr">
        <is>
          <t>Marka Bilinirliği (Erişim)</t>
        </is>
      </c>
      <c r="D502" t="n">
        <v>444.94</v>
      </c>
    </row>
    <row r="503">
      <c r="A503" t="inlineStr">
        <is>
          <t>Doruk Hastaneleri</t>
        </is>
      </c>
      <c r="B503" t="inlineStr">
        <is>
          <t>Hastane (Kurumsal)</t>
        </is>
      </c>
      <c r="C503" t="inlineStr">
        <is>
          <t>Marka Bilinirliği (Erişim)</t>
        </is>
      </c>
      <c r="D503" t="n">
        <v>432.96</v>
      </c>
    </row>
    <row r="504">
      <c r="A504" t="inlineStr">
        <is>
          <t>Doruk Hastaneleri</t>
        </is>
      </c>
      <c r="B504" t="inlineStr">
        <is>
          <t>Hastane (Kurumsal)</t>
        </is>
      </c>
      <c r="C504" t="inlineStr">
        <is>
          <t>Marka Bilinirliği (Erişim)</t>
        </is>
      </c>
      <c r="D504" t="n">
        <v>430.39</v>
      </c>
    </row>
    <row r="505">
      <c r="A505" t="inlineStr">
        <is>
          <t>Doruk Hastaneleri</t>
        </is>
      </c>
      <c r="B505" t="inlineStr">
        <is>
          <t>Hastane (Kurumsal)</t>
        </is>
      </c>
      <c r="C505" t="inlineStr">
        <is>
          <t>Lead Toplama (Form)</t>
        </is>
      </c>
      <c r="D505" t="n">
        <v>427.43</v>
      </c>
    </row>
    <row r="506">
      <c r="A506" t="inlineStr">
        <is>
          <t>Op. Dr. Emre Çaycı</t>
        </is>
      </c>
      <c r="B506" t="inlineStr">
        <is>
          <t>Doktor Sayfaları</t>
        </is>
      </c>
      <c r="C506" t="inlineStr">
        <is>
          <t>Instagram Öne Çıkarma</t>
        </is>
      </c>
      <c r="D506" t="n">
        <v>426.68</v>
      </c>
    </row>
    <row r="507">
      <c r="A507" t="inlineStr">
        <is>
          <t>Doruk Hastaneleri</t>
        </is>
      </c>
      <c r="B507" t="inlineStr">
        <is>
          <t>Hastane (Kurumsal)</t>
        </is>
      </c>
      <c r="C507" t="inlineStr">
        <is>
          <t>Instagram Öne Çıkarma</t>
        </is>
      </c>
      <c r="D507" t="n">
        <v>424.39</v>
      </c>
    </row>
    <row r="508">
      <c r="A508" t="inlineStr">
        <is>
          <t>Doruk Estetik &amp; Saç Ekimi</t>
        </is>
      </c>
      <c r="B508" t="inlineStr">
        <is>
          <t>Estetik Marka</t>
        </is>
      </c>
      <c r="C508" t="inlineStr">
        <is>
          <t>Instagram Öne Çıkarma</t>
        </is>
      </c>
      <c r="D508" t="n">
        <v>421.81</v>
      </c>
    </row>
    <row r="509">
      <c r="A509" t="inlineStr">
        <is>
          <t>Doruk Hastaneleri</t>
        </is>
      </c>
      <c r="B509" t="inlineStr">
        <is>
          <t>Hastane (Kurumsal)</t>
        </is>
      </c>
      <c r="C509" t="inlineStr">
        <is>
          <t>Lead Toplama (Form)</t>
        </is>
      </c>
      <c r="D509" t="n">
        <v>418.93</v>
      </c>
    </row>
    <row r="510">
      <c r="A510" t="inlineStr">
        <is>
          <t>Doruk Estetik &amp; Saç Ekimi</t>
        </is>
      </c>
      <c r="B510" t="inlineStr">
        <is>
          <t>Estetik Marka</t>
        </is>
      </c>
      <c r="C510" t="inlineStr">
        <is>
          <t>Instagram Öne Çıkarma</t>
        </is>
      </c>
      <c r="D510" t="n">
        <v>418.88</v>
      </c>
    </row>
    <row r="511">
      <c r="A511" t="inlineStr">
        <is>
          <t>Doruk Hastaneleri</t>
        </is>
      </c>
      <c r="B511" t="inlineStr">
        <is>
          <t>Hastane (Kurumsal)</t>
        </is>
      </c>
      <c r="C511" t="inlineStr">
        <is>
          <t>Lead Toplama (Form)</t>
        </is>
      </c>
      <c r="D511" t="n">
        <v>414.93</v>
      </c>
    </row>
    <row r="512">
      <c r="A512" t="inlineStr">
        <is>
          <t>Doruk Hastaneleri</t>
        </is>
      </c>
      <c r="B512" t="inlineStr">
        <is>
          <t>Hastane (Kurumsal)</t>
        </is>
      </c>
      <c r="C512" t="inlineStr">
        <is>
          <t>Lead Toplama (Form)</t>
        </is>
      </c>
      <c r="D512" t="n">
        <v>414.15</v>
      </c>
    </row>
    <row r="513">
      <c r="A513" t="inlineStr">
        <is>
          <t>Doruk Estetik &amp; Saç Ekimi</t>
        </is>
      </c>
      <c r="B513" t="inlineStr">
        <is>
          <t>Estetik Marka</t>
        </is>
      </c>
      <c r="C513" t="inlineStr">
        <is>
          <t>Instagram Öne Çıkarma</t>
        </is>
      </c>
      <c r="D513" t="n">
        <v>413.3</v>
      </c>
    </row>
    <row r="514">
      <c r="A514" t="inlineStr">
        <is>
          <t>Op.Dr. Eren Kaya</t>
        </is>
      </c>
      <c r="B514" t="inlineStr">
        <is>
          <t>Doktor Sayfaları</t>
        </is>
      </c>
      <c r="C514" t="inlineStr">
        <is>
          <t>Instagram Öne Çıkarma</t>
        </is>
      </c>
      <c r="D514" t="n">
        <v>411.17</v>
      </c>
    </row>
    <row r="515">
      <c r="A515" t="inlineStr">
        <is>
          <t>Doruk Hastaneleri</t>
        </is>
      </c>
      <c r="B515" t="inlineStr">
        <is>
          <t>Hastane (Kurumsal)</t>
        </is>
      </c>
      <c r="C515" t="inlineStr">
        <is>
          <t>Instagram Öne Çıkarma</t>
        </is>
      </c>
      <c r="D515" t="n">
        <v>408.52</v>
      </c>
    </row>
    <row r="516">
      <c r="A516" t="inlineStr">
        <is>
          <t>Doruk Hastaneleri</t>
        </is>
      </c>
      <c r="B516" t="inlineStr">
        <is>
          <t>Hastane (Kurumsal)</t>
        </is>
      </c>
      <c r="C516" t="inlineStr">
        <is>
          <t>Marka Bilinirliği (Erişim)</t>
        </is>
      </c>
      <c r="D516" t="n">
        <v>408.31</v>
      </c>
    </row>
    <row r="517">
      <c r="A517" t="inlineStr">
        <is>
          <t>Doç.Dr. Selin Aktürk Esen</t>
        </is>
      </c>
      <c r="B517" t="inlineStr">
        <is>
          <t>Doktor Sayfaları</t>
        </is>
      </c>
      <c r="C517" t="inlineStr">
        <is>
          <t>Instagram Öne Çıkarma</t>
        </is>
      </c>
      <c r="D517" t="n">
        <v>407.16</v>
      </c>
    </row>
    <row r="518">
      <c r="A518" t="inlineStr">
        <is>
          <t>Doruk Estetik &amp; Saç Ekimi</t>
        </is>
      </c>
      <c r="B518" t="inlineStr">
        <is>
          <t>Estetik Marka</t>
        </is>
      </c>
      <c r="C518" t="inlineStr">
        <is>
          <t>Instagram Öne Çıkarma</t>
        </is>
      </c>
      <c r="D518" t="n">
        <v>397.66</v>
      </c>
    </row>
    <row r="519">
      <c r="A519" t="inlineStr">
        <is>
          <t>Doruk Estetik &amp; Saç Ekimi</t>
        </is>
      </c>
      <c r="B519" t="inlineStr">
        <is>
          <t>Estetik Marka</t>
        </is>
      </c>
      <c r="C519" t="inlineStr">
        <is>
          <t>Instagram Öne Çıkarma</t>
        </is>
      </c>
      <c r="D519" t="n">
        <v>394.54</v>
      </c>
    </row>
    <row r="520">
      <c r="A520" t="inlineStr">
        <is>
          <t>Doruk Hastaneleri</t>
        </is>
      </c>
      <c r="B520" t="inlineStr">
        <is>
          <t>Hastane (Kurumsal)</t>
        </is>
      </c>
      <c r="C520" t="inlineStr">
        <is>
          <t>Instagram Öne Çıkarma</t>
        </is>
      </c>
      <c r="D520" t="n">
        <v>389.79</v>
      </c>
    </row>
    <row r="521">
      <c r="A521" t="inlineStr">
        <is>
          <t>Doruk Estetik &amp; Saç Ekimi</t>
        </is>
      </c>
      <c r="B521" t="inlineStr">
        <is>
          <t>Estetik Marka</t>
        </is>
      </c>
      <c r="C521" t="inlineStr">
        <is>
          <t>Instagram Öne Çıkarma</t>
        </is>
      </c>
      <c r="D521" t="n">
        <v>384.69</v>
      </c>
    </row>
    <row r="522">
      <c r="A522" t="inlineStr">
        <is>
          <t>Doruk Estetik &amp; Saç Ekimi</t>
        </is>
      </c>
      <c r="B522" t="inlineStr">
        <is>
          <t>Estetik Marka</t>
        </is>
      </c>
      <c r="C522" t="inlineStr">
        <is>
          <t>Instagram Öne Çıkarma</t>
        </is>
      </c>
      <c r="D522" t="n">
        <v>383.82</v>
      </c>
    </row>
    <row r="523">
      <c r="A523" t="inlineStr">
        <is>
          <t>Doruk Hastaneleri</t>
        </is>
      </c>
      <c r="B523" t="inlineStr">
        <is>
          <t>Hastane (Kurumsal)</t>
        </is>
      </c>
      <c r="C523" t="inlineStr">
        <is>
          <t>Instagram Öne Çıkarma</t>
        </is>
      </c>
      <c r="D523" t="n">
        <v>383.58</v>
      </c>
    </row>
    <row r="524">
      <c r="A524" t="inlineStr">
        <is>
          <t>Doruk Hastaneleri</t>
        </is>
      </c>
      <c r="B524" t="inlineStr">
        <is>
          <t>Hastane (Kurumsal)</t>
        </is>
      </c>
      <c r="C524" t="inlineStr">
        <is>
          <t>Marka Bilinirliği (Erişim)</t>
        </is>
      </c>
      <c r="D524" t="n">
        <v>382.36</v>
      </c>
    </row>
    <row r="525">
      <c r="A525" t="inlineStr">
        <is>
          <t>Doruk Estetik &amp; Saç Ekimi</t>
        </is>
      </c>
      <c r="B525" t="inlineStr">
        <is>
          <t>Estetik Marka</t>
        </is>
      </c>
      <c r="C525" t="inlineStr">
        <is>
          <t>Instagram Öne Çıkarma</t>
        </is>
      </c>
      <c r="D525" t="n">
        <v>382.26</v>
      </c>
    </row>
    <row r="526">
      <c r="A526" t="inlineStr">
        <is>
          <t>Doruk Estetik &amp; Saç Ekimi</t>
        </is>
      </c>
      <c r="B526" t="inlineStr">
        <is>
          <t>Estetik Marka</t>
        </is>
      </c>
      <c r="C526" t="inlineStr">
        <is>
          <t>Instagram Öne Çıkarma</t>
        </is>
      </c>
      <c r="D526" t="n">
        <v>381.4</v>
      </c>
    </row>
    <row r="527">
      <c r="A527" t="inlineStr">
        <is>
          <t>Doruk Estetik &amp; Saç Ekimi</t>
        </is>
      </c>
      <c r="B527" t="inlineStr">
        <is>
          <t>Estetik Marka</t>
        </is>
      </c>
      <c r="C527" t="inlineStr">
        <is>
          <t>Lead Toplama (Form)</t>
        </is>
      </c>
      <c r="D527" t="n">
        <v>379.16</v>
      </c>
    </row>
    <row r="528">
      <c r="A528" t="inlineStr">
        <is>
          <t>Doruk Estetik &amp; Saç Ekimi</t>
        </is>
      </c>
      <c r="B528" t="inlineStr">
        <is>
          <t>Estetik Marka</t>
        </is>
      </c>
      <c r="C528" t="inlineStr">
        <is>
          <t>Instagram Öne Çıkarma</t>
        </is>
      </c>
      <c r="D528" t="n">
        <v>378.24</v>
      </c>
    </row>
    <row r="529">
      <c r="A529" t="inlineStr">
        <is>
          <t>Doruk Hastaneleri</t>
        </is>
      </c>
      <c r="B529" t="inlineStr">
        <is>
          <t>Hastane (Kurumsal)</t>
        </is>
      </c>
      <c r="C529" t="inlineStr">
        <is>
          <t>Lead Toplama (Form)</t>
        </is>
      </c>
      <c r="D529" t="n">
        <v>378.2</v>
      </c>
    </row>
    <row r="530">
      <c r="A530" t="inlineStr">
        <is>
          <t>Doruk Hastaneleri</t>
        </is>
      </c>
      <c r="B530" t="inlineStr">
        <is>
          <t>Hastane (Kurumsal)</t>
        </is>
      </c>
      <c r="C530" t="inlineStr">
        <is>
          <t>Lead Toplama (Form)</t>
        </is>
      </c>
      <c r="D530" t="n">
        <v>376.18</v>
      </c>
    </row>
    <row r="531">
      <c r="A531" t="inlineStr">
        <is>
          <t>Doruk Hastaneleri</t>
        </is>
      </c>
      <c r="B531" t="inlineStr">
        <is>
          <t>Hastane (Kurumsal)</t>
        </is>
      </c>
      <c r="C531" t="inlineStr">
        <is>
          <t>Lead Toplama (Form)</t>
        </is>
      </c>
      <c r="D531" t="n">
        <v>374.86</v>
      </c>
    </row>
    <row r="532">
      <c r="A532" t="inlineStr">
        <is>
          <t>Doruk Hastaneleri</t>
        </is>
      </c>
      <c r="B532" t="inlineStr">
        <is>
          <t>Hastane (Kurumsal)</t>
        </is>
      </c>
      <c r="C532" t="inlineStr">
        <is>
          <t>Instagram Öne Çıkarma</t>
        </is>
      </c>
      <c r="D532" t="n">
        <v>370.9</v>
      </c>
    </row>
    <row r="533">
      <c r="A533" t="inlineStr">
        <is>
          <t>Doruk Hastaneleri</t>
        </is>
      </c>
      <c r="B533" t="inlineStr">
        <is>
          <t>Hastane (Kurumsal)</t>
        </is>
      </c>
      <c r="C533" t="inlineStr">
        <is>
          <t>Lead Toplama (Form)</t>
        </is>
      </c>
      <c r="D533" t="n">
        <v>369.9</v>
      </c>
    </row>
    <row r="534">
      <c r="A534" t="inlineStr">
        <is>
          <t>Doruk Hastaneleri</t>
        </is>
      </c>
      <c r="B534" t="inlineStr">
        <is>
          <t>Hastane (Kurumsal)</t>
        </is>
      </c>
      <c r="C534" t="inlineStr">
        <is>
          <t>Lead Toplama (Form)</t>
        </is>
      </c>
      <c r="D534" t="n">
        <v>369.89</v>
      </c>
    </row>
    <row r="535">
      <c r="A535" t="inlineStr">
        <is>
          <t>Doruk Hastaneleri</t>
        </is>
      </c>
      <c r="B535" t="inlineStr">
        <is>
          <t>Hastane (Kurumsal)</t>
        </is>
      </c>
      <c r="C535" t="inlineStr">
        <is>
          <t>Lead Toplama (Form)</t>
        </is>
      </c>
      <c r="D535" t="n">
        <v>368.95</v>
      </c>
    </row>
    <row r="536">
      <c r="A536" t="inlineStr">
        <is>
          <t>Doruk Hastaneleri</t>
        </is>
      </c>
      <c r="B536" t="inlineStr">
        <is>
          <t>Hastane (Kurumsal)</t>
        </is>
      </c>
      <c r="C536" t="inlineStr">
        <is>
          <t>Lead Toplama (Form)</t>
        </is>
      </c>
      <c r="D536" t="n">
        <v>368.39</v>
      </c>
    </row>
    <row r="537">
      <c r="A537" t="inlineStr">
        <is>
          <t>Doruk Hastaneleri</t>
        </is>
      </c>
      <c r="B537" t="inlineStr">
        <is>
          <t>Hastane (Kurumsal)</t>
        </is>
      </c>
      <c r="C537" t="inlineStr">
        <is>
          <t>Lead Toplama (Form)</t>
        </is>
      </c>
      <c r="D537" t="n">
        <v>366.36</v>
      </c>
    </row>
    <row r="538">
      <c r="A538" t="inlineStr">
        <is>
          <t>Doruk Hastaneleri</t>
        </is>
      </c>
      <c r="B538" t="inlineStr">
        <is>
          <t>Hastane (Kurumsal)</t>
        </is>
      </c>
      <c r="C538" t="inlineStr">
        <is>
          <t>Lead Toplama (Form)</t>
        </is>
      </c>
      <c r="D538" t="n">
        <v>366.12</v>
      </c>
    </row>
    <row r="539">
      <c r="A539" t="inlineStr">
        <is>
          <t>Doruk Hastaneleri</t>
        </is>
      </c>
      <c r="B539" t="inlineStr">
        <is>
          <t>Hastane (Kurumsal)</t>
        </is>
      </c>
      <c r="C539" t="inlineStr">
        <is>
          <t>Lead Toplama (Form)</t>
        </is>
      </c>
      <c r="D539" t="n">
        <v>365.75</v>
      </c>
    </row>
    <row r="540">
      <c r="A540" t="inlineStr">
        <is>
          <t>Doruk Estetik &amp; Saç Ekimi</t>
        </is>
      </c>
      <c r="B540" t="inlineStr">
        <is>
          <t>Estetik Marka</t>
        </is>
      </c>
      <c r="C540" t="inlineStr">
        <is>
          <t>Instagram Öne Çıkarma</t>
        </is>
      </c>
      <c r="D540" t="n">
        <v>365.35</v>
      </c>
    </row>
    <row r="541">
      <c r="A541" t="inlineStr">
        <is>
          <t>Doruk Hastaneleri</t>
        </is>
      </c>
      <c r="B541" t="inlineStr">
        <is>
          <t>Hastane (Kurumsal)</t>
        </is>
      </c>
      <c r="C541" t="inlineStr">
        <is>
          <t>Lead Toplama (Form)</t>
        </is>
      </c>
      <c r="D541" t="n">
        <v>364.8</v>
      </c>
    </row>
    <row r="542">
      <c r="A542" t="inlineStr">
        <is>
          <t>Doruk Estetik &amp; Saç Ekimi</t>
        </is>
      </c>
      <c r="B542" t="inlineStr">
        <is>
          <t>Estetik Marka</t>
        </is>
      </c>
      <c r="C542" t="inlineStr">
        <is>
          <t>Instagram Öne Çıkarma</t>
        </is>
      </c>
      <c r="D542" t="n">
        <v>364.22</v>
      </c>
    </row>
    <row r="543">
      <c r="A543" t="inlineStr">
        <is>
          <t>Doruk Hastaneleri</t>
        </is>
      </c>
      <c r="B543" t="inlineStr">
        <is>
          <t>Hastane (Kurumsal)</t>
        </is>
      </c>
      <c r="C543" t="inlineStr">
        <is>
          <t>Lead Toplama (Form)</t>
        </is>
      </c>
      <c r="D543" t="n">
        <v>364.09</v>
      </c>
    </row>
    <row r="544">
      <c r="A544" t="inlineStr">
        <is>
          <t>Doruk Hastaneleri</t>
        </is>
      </c>
      <c r="B544" t="inlineStr">
        <is>
          <t>Hastane (Kurumsal)</t>
        </is>
      </c>
      <c r="C544" t="inlineStr">
        <is>
          <t>Lead Toplama (Form)</t>
        </is>
      </c>
      <c r="D544" t="n">
        <v>364.01</v>
      </c>
    </row>
    <row r="545">
      <c r="A545" t="inlineStr">
        <is>
          <t>Doruk Hastaneleri</t>
        </is>
      </c>
      <c r="B545" t="inlineStr">
        <is>
          <t>Hastane (Kurumsal)</t>
        </is>
      </c>
      <c r="C545" t="inlineStr">
        <is>
          <t>Lead Toplama (Form)</t>
        </is>
      </c>
      <c r="D545" t="n">
        <v>363.47</v>
      </c>
    </row>
    <row r="546">
      <c r="A546" t="inlineStr">
        <is>
          <t>Doruk Estetik &amp; Saç Ekimi</t>
        </is>
      </c>
      <c r="B546" t="inlineStr">
        <is>
          <t>Estetik Marka</t>
        </is>
      </c>
      <c r="C546" t="inlineStr">
        <is>
          <t>Instagram Öne Çıkarma</t>
        </is>
      </c>
      <c r="D546" t="n">
        <v>362.68</v>
      </c>
    </row>
    <row r="547">
      <c r="A547" t="inlineStr">
        <is>
          <t>Doruk Hastaneleri</t>
        </is>
      </c>
      <c r="B547" t="inlineStr">
        <is>
          <t>Hastane (Kurumsal)</t>
        </is>
      </c>
      <c r="C547" t="inlineStr">
        <is>
          <t>Lead Toplama (Form)</t>
        </is>
      </c>
      <c r="D547" t="n">
        <v>361.24</v>
      </c>
    </row>
    <row r="548">
      <c r="A548" t="inlineStr">
        <is>
          <t>Doruk Estetik &amp; Saç Ekimi</t>
        </is>
      </c>
      <c r="B548" t="inlineStr">
        <is>
          <t>Estetik Marka</t>
        </is>
      </c>
      <c r="C548" t="inlineStr">
        <is>
          <t>Instagram Öne Çıkarma</t>
        </is>
      </c>
      <c r="D548" t="n">
        <v>359.56</v>
      </c>
    </row>
    <row r="549">
      <c r="A549" t="inlineStr">
        <is>
          <t>Op. Dr. Emre Çaycı</t>
        </is>
      </c>
      <c r="B549" t="inlineStr">
        <is>
          <t>Doktor Sayfaları</t>
        </is>
      </c>
      <c r="C549" t="inlineStr">
        <is>
          <t>Instagram Öne Çıkarma</t>
        </is>
      </c>
      <c r="D549" t="n">
        <v>359.45</v>
      </c>
    </row>
    <row r="550">
      <c r="A550" t="inlineStr">
        <is>
          <t>Doruk Hastaneleri</t>
        </is>
      </c>
      <c r="B550" t="inlineStr">
        <is>
          <t>Hastane (Kurumsal)</t>
        </is>
      </c>
      <c r="C550" t="inlineStr">
        <is>
          <t>Lead Toplama (Form)</t>
        </is>
      </c>
      <c r="D550" t="n">
        <v>357.8</v>
      </c>
    </row>
    <row r="551">
      <c r="A551" t="inlineStr">
        <is>
          <t>Doruk Hastaneleri</t>
        </is>
      </c>
      <c r="B551" t="inlineStr">
        <is>
          <t>Hastane (Kurumsal)</t>
        </is>
      </c>
      <c r="C551" t="inlineStr">
        <is>
          <t>Lead Toplama (Form)</t>
        </is>
      </c>
      <c r="D551" t="n">
        <v>357.74</v>
      </c>
    </row>
    <row r="552">
      <c r="A552" t="inlineStr">
        <is>
          <t>Doruk Hastaneleri</t>
        </is>
      </c>
      <c r="B552" t="inlineStr">
        <is>
          <t>Hastane (Kurumsal)</t>
        </is>
      </c>
      <c r="C552" t="inlineStr">
        <is>
          <t>Lead Toplama (Form)</t>
        </is>
      </c>
      <c r="D552" t="n">
        <v>355.47</v>
      </c>
    </row>
    <row r="553">
      <c r="A553" t="inlineStr">
        <is>
          <t>Doruk Hastaneleri</t>
        </is>
      </c>
      <c r="B553" t="inlineStr">
        <is>
          <t>Hastane (Kurumsal)</t>
        </is>
      </c>
      <c r="C553" t="inlineStr">
        <is>
          <t>Lead Toplama (Form)</t>
        </is>
      </c>
      <c r="D553" t="n">
        <v>354.97</v>
      </c>
    </row>
    <row r="554">
      <c r="A554" t="inlineStr">
        <is>
          <t>Doruk Hastaneleri</t>
        </is>
      </c>
      <c r="B554" t="inlineStr">
        <is>
          <t>Hastane (Kurumsal)</t>
        </is>
      </c>
      <c r="C554" t="inlineStr">
        <is>
          <t>Lead Toplama (Form)</t>
        </is>
      </c>
      <c r="D554" t="n">
        <v>354.09</v>
      </c>
    </row>
    <row r="555">
      <c r="A555" t="inlineStr">
        <is>
          <t>Doruk Hastaneleri</t>
        </is>
      </c>
      <c r="B555" t="inlineStr">
        <is>
          <t>Hastane (Kurumsal)</t>
        </is>
      </c>
      <c r="C555" t="inlineStr">
        <is>
          <t>Lead Toplama (Form)</t>
        </is>
      </c>
      <c r="D555" t="n">
        <v>353.7</v>
      </c>
    </row>
    <row r="556">
      <c r="A556" t="inlineStr">
        <is>
          <t>Doruk Hastaneleri</t>
        </is>
      </c>
      <c r="B556" t="inlineStr">
        <is>
          <t>Hastane (Kurumsal)</t>
        </is>
      </c>
      <c r="C556" t="inlineStr">
        <is>
          <t>Lead Toplama (Form)</t>
        </is>
      </c>
      <c r="D556" t="n">
        <v>352.58</v>
      </c>
    </row>
    <row r="557">
      <c r="A557" t="inlineStr">
        <is>
          <t>Doruk Hastaneleri</t>
        </is>
      </c>
      <c r="B557" t="inlineStr">
        <is>
          <t>Hastane (Kurumsal)</t>
        </is>
      </c>
      <c r="C557" t="inlineStr">
        <is>
          <t>Lead Toplama (Form)</t>
        </is>
      </c>
      <c r="D557" t="n">
        <v>350.66</v>
      </c>
    </row>
    <row r="558">
      <c r="A558" t="inlineStr">
        <is>
          <t>Op.Dr. Abdullah ERTAŞ</t>
        </is>
      </c>
      <c r="B558" t="inlineStr">
        <is>
          <t>Doktor Sayfaları</t>
        </is>
      </c>
      <c r="C558" t="inlineStr">
        <is>
          <t>Instagram Öne Çıkarma</t>
        </is>
      </c>
      <c r="D558" t="n">
        <v>350.58</v>
      </c>
    </row>
    <row r="559">
      <c r="A559" t="inlineStr">
        <is>
          <t>Doruk Hastaneleri</t>
        </is>
      </c>
      <c r="B559" t="inlineStr">
        <is>
          <t>Hastane (Kurumsal)</t>
        </is>
      </c>
      <c r="C559" t="inlineStr">
        <is>
          <t>Lead Toplama (Form)</t>
        </is>
      </c>
      <c r="D559" t="n">
        <v>348.35</v>
      </c>
    </row>
    <row r="560">
      <c r="A560" t="inlineStr">
        <is>
          <t>Doruk Hastaneleri</t>
        </is>
      </c>
      <c r="B560" t="inlineStr">
        <is>
          <t>Hastane (Kurumsal)</t>
        </is>
      </c>
      <c r="C560" t="inlineStr">
        <is>
          <t>Lead Toplama (Form)</t>
        </is>
      </c>
      <c r="D560" t="n">
        <v>347.62</v>
      </c>
    </row>
    <row r="561">
      <c r="A561" t="inlineStr">
        <is>
          <t>Op. Dr. Emre Çaycı</t>
        </is>
      </c>
      <c r="B561" t="inlineStr">
        <is>
          <t>Doktor Sayfaları</t>
        </is>
      </c>
      <c r="C561" t="inlineStr">
        <is>
          <t>Instagram Öne Çıkarma</t>
        </is>
      </c>
      <c r="D561" t="n">
        <v>347.48</v>
      </c>
    </row>
    <row r="562">
      <c r="A562" t="inlineStr">
        <is>
          <t>Doruk Hastaneleri</t>
        </is>
      </c>
      <c r="B562" t="inlineStr">
        <is>
          <t>Hastane (Kurumsal)</t>
        </is>
      </c>
      <c r="C562" t="inlineStr">
        <is>
          <t>Lead Toplama (Form)</t>
        </is>
      </c>
      <c r="D562" t="n">
        <v>346.51</v>
      </c>
    </row>
    <row r="563">
      <c r="A563" t="inlineStr">
        <is>
          <t>Doruk Hastaneleri</t>
        </is>
      </c>
      <c r="B563" t="inlineStr">
        <is>
          <t>Hastane (Kurumsal)</t>
        </is>
      </c>
      <c r="C563" t="inlineStr">
        <is>
          <t>Lead Toplama (Form)</t>
        </is>
      </c>
      <c r="D563" t="n">
        <v>345.9</v>
      </c>
    </row>
    <row r="564">
      <c r="A564" t="inlineStr">
        <is>
          <t>Doruk Hastaneleri</t>
        </is>
      </c>
      <c r="B564" t="inlineStr">
        <is>
          <t>Hastane (Kurumsal)</t>
        </is>
      </c>
      <c r="C564" t="inlineStr">
        <is>
          <t>Lead Toplama (Form)</t>
        </is>
      </c>
      <c r="D564" t="n">
        <v>345.48</v>
      </c>
    </row>
    <row r="565">
      <c r="A565" t="inlineStr">
        <is>
          <t>Doruk Hastaneleri</t>
        </is>
      </c>
      <c r="B565" t="inlineStr">
        <is>
          <t>Hastane (Kurumsal)</t>
        </is>
      </c>
      <c r="C565" t="inlineStr">
        <is>
          <t>Lead Toplama (Form)</t>
        </is>
      </c>
      <c r="D565" t="n">
        <v>343.83</v>
      </c>
    </row>
    <row r="566">
      <c r="A566" t="inlineStr">
        <is>
          <t>Doruk Hastaneleri</t>
        </is>
      </c>
      <c r="B566" t="inlineStr">
        <is>
          <t>Hastane (Kurumsal)</t>
        </is>
      </c>
      <c r="C566" t="inlineStr">
        <is>
          <t>Lead Toplama (Form)</t>
        </is>
      </c>
      <c r="D566" t="n">
        <v>342.71</v>
      </c>
    </row>
    <row r="567">
      <c r="A567" t="inlineStr">
        <is>
          <t>Doruk Hastaneleri</t>
        </is>
      </c>
      <c r="B567" t="inlineStr">
        <is>
          <t>Hastane (Kurumsal)</t>
        </is>
      </c>
      <c r="C567" t="inlineStr">
        <is>
          <t>Lead Toplama (Form)</t>
        </is>
      </c>
      <c r="D567" t="n">
        <v>342.2</v>
      </c>
    </row>
    <row r="568">
      <c r="A568" t="inlineStr">
        <is>
          <t>Doruk Hastaneleri</t>
        </is>
      </c>
      <c r="B568" t="inlineStr">
        <is>
          <t>Hastane (Kurumsal)</t>
        </is>
      </c>
      <c r="C568" t="inlineStr">
        <is>
          <t>Lead Toplama (Form)</t>
        </is>
      </c>
      <c r="D568" t="n">
        <v>339.64</v>
      </c>
    </row>
    <row r="569">
      <c r="A569" t="inlineStr">
        <is>
          <t>Doç.Dr. Selin Aktürk Esen</t>
        </is>
      </c>
      <c r="B569" t="inlineStr">
        <is>
          <t>Doktor Sayfaları</t>
        </is>
      </c>
      <c r="C569" t="inlineStr">
        <is>
          <t>Instagram Öne Çıkarma</t>
        </is>
      </c>
      <c r="D569" t="n">
        <v>339.41</v>
      </c>
    </row>
    <row r="570">
      <c r="A570" t="inlineStr">
        <is>
          <t>Doruk Hastaneleri</t>
        </is>
      </c>
      <c r="B570" t="inlineStr">
        <is>
          <t>Hastane (Kurumsal)</t>
        </is>
      </c>
      <c r="C570" t="inlineStr">
        <is>
          <t>Lead Toplama (Form)</t>
        </is>
      </c>
      <c r="D570" t="n">
        <v>338.18</v>
      </c>
    </row>
    <row r="571">
      <c r="A571" t="inlineStr">
        <is>
          <t>Doruk Hastaneleri</t>
        </is>
      </c>
      <c r="B571" t="inlineStr">
        <is>
          <t>Hastane (Kurumsal)</t>
        </is>
      </c>
      <c r="C571" t="inlineStr">
        <is>
          <t>Lead Toplama (Form)</t>
        </is>
      </c>
      <c r="D571" t="n">
        <v>338.12</v>
      </c>
    </row>
    <row r="572">
      <c r="A572" t="inlineStr">
        <is>
          <t>Doruk Hastaneleri</t>
        </is>
      </c>
      <c r="B572" t="inlineStr">
        <is>
          <t>Hastane (Kurumsal)</t>
        </is>
      </c>
      <c r="C572" t="inlineStr">
        <is>
          <t>Lead Toplama (Form)</t>
        </is>
      </c>
      <c r="D572" t="n">
        <v>336.57</v>
      </c>
    </row>
    <row r="573">
      <c r="A573" t="inlineStr">
        <is>
          <t>Op.Dr. Abdullah ERTAŞ</t>
        </is>
      </c>
      <c r="B573" t="inlineStr">
        <is>
          <t>Doktor Sayfaları</t>
        </is>
      </c>
      <c r="C573" t="inlineStr">
        <is>
          <t>Instagram Öne Çıkarma</t>
        </is>
      </c>
      <c r="D573" t="n">
        <v>336.23</v>
      </c>
    </row>
    <row r="574">
      <c r="A574" t="inlineStr">
        <is>
          <t>Doruk Hastaneleri</t>
        </is>
      </c>
      <c r="B574" t="inlineStr">
        <is>
          <t>Hastane (Kurumsal)</t>
        </is>
      </c>
      <c r="C574" t="inlineStr">
        <is>
          <t>Lead Toplama (Form)</t>
        </is>
      </c>
      <c r="D574" t="n">
        <v>336.22</v>
      </c>
    </row>
    <row r="575">
      <c r="A575" t="inlineStr">
        <is>
          <t>Doruk Hastaneleri</t>
        </is>
      </c>
      <c r="B575" t="inlineStr">
        <is>
          <t>Hastane (Kurumsal)</t>
        </is>
      </c>
      <c r="C575" t="inlineStr">
        <is>
          <t>Lead Toplama (Form)</t>
        </is>
      </c>
      <c r="D575" t="n">
        <v>334.17</v>
      </c>
    </row>
    <row r="576">
      <c r="A576" t="inlineStr">
        <is>
          <t>Doruk Hastaneleri</t>
        </is>
      </c>
      <c r="B576" t="inlineStr">
        <is>
          <t>Hastane (Kurumsal)</t>
        </is>
      </c>
      <c r="C576" t="inlineStr">
        <is>
          <t>Lead Toplama (Form)</t>
        </is>
      </c>
      <c r="D576" t="n">
        <v>333.44</v>
      </c>
    </row>
    <row r="577">
      <c r="A577" t="inlineStr">
        <is>
          <t>Doruk Hastaneleri</t>
        </is>
      </c>
      <c r="B577" t="inlineStr">
        <is>
          <t>Hastane (Kurumsal)</t>
        </is>
      </c>
      <c r="C577" t="inlineStr">
        <is>
          <t>Lead Toplama (Form)</t>
        </is>
      </c>
      <c r="D577" t="n">
        <v>331.89</v>
      </c>
    </row>
    <row r="578">
      <c r="A578" t="inlineStr">
        <is>
          <t>Doruk Hastaneleri</t>
        </is>
      </c>
      <c r="B578" t="inlineStr">
        <is>
          <t>Hastane (Kurumsal)</t>
        </is>
      </c>
      <c r="C578" t="inlineStr">
        <is>
          <t>Lead Toplama (Form)</t>
        </is>
      </c>
      <c r="D578" t="n">
        <v>330.91</v>
      </c>
    </row>
    <row r="579">
      <c r="A579" t="inlineStr">
        <is>
          <t>Doruk Hastaneleri</t>
        </is>
      </c>
      <c r="B579" t="inlineStr">
        <is>
          <t>Hastane (Kurumsal)</t>
        </is>
      </c>
      <c r="C579" t="inlineStr">
        <is>
          <t>Lead Toplama (Form)</t>
        </is>
      </c>
      <c r="D579" t="n">
        <v>328.93</v>
      </c>
    </row>
    <row r="580">
      <c r="A580" t="inlineStr">
        <is>
          <t>Doruk Hastaneleri</t>
        </is>
      </c>
      <c r="B580" t="inlineStr">
        <is>
          <t>Hastane (Kurumsal)</t>
        </is>
      </c>
      <c r="C580" t="inlineStr">
        <is>
          <t>Lead Toplama (Form)</t>
        </is>
      </c>
      <c r="D580" t="n">
        <v>325.91</v>
      </c>
    </row>
    <row r="581">
      <c r="A581" t="inlineStr">
        <is>
          <t>Doruk Hastaneleri</t>
        </is>
      </c>
      <c r="B581" t="inlineStr">
        <is>
          <t>Hastane (Kurumsal)</t>
        </is>
      </c>
      <c r="C581" t="inlineStr">
        <is>
          <t>Lead Toplama (Form)</t>
        </is>
      </c>
      <c r="D581" t="n">
        <v>324.2</v>
      </c>
    </row>
    <row r="582">
      <c r="A582" t="inlineStr">
        <is>
          <t>Doruk Hastaneleri</t>
        </is>
      </c>
      <c r="B582" t="inlineStr">
        <is>
          <t>Hastane (Kurumsal)</t>
        </is>
      </c>
      <c r="C582" t="inlineStr">
        <is>
          <t>Lead Toplama (Form)</t>
        </is>
      </c>
      <c r="D582" t="n">
        <v>323.86</v>
      </c>
    </row>
    <row r="583">
      <c r="A583" t="inlineStr">
        <is>
          <t>Doruk Hastaneleri</t>
        </is>
      </c>
      <c r="B583" t="inlineStr">
        <is>
          <t>Hastane (Kurumsal)</t>
        </is>
      </c>
      <c r="C583" t="inlineStr">
        <is>
          <t>Lead Toplama (Form)</t>
        </is>
      </c>
      <c r="D583" t="n">
        <v>323.82</v>
      </c>
    </row>
    <row r="584">
      <c r="A584" t="inlineStr">
        <is>
          <t>Doruk Hastaneleri</t>
        </is>
      </c>
      <c r="B584" t="inlineStr">
        <is>
          <t>Hastane (Kurumsal)</t>
        </is>
      </c>
      <c r="C584" t="inlineStr">
        <is>
          <t>Lead Toplama (Form)</t>
        </is>
      </c>
      <c r="D584" t="n">
        <v>322.26</v>
      </c>
    </row>
    <row r="585">
      <c r="A585" t="inlineStr">
        <is>
          <t>Doruk Hastaneleri</t>
        </is>
      </c>
      <c r="B585" t="inlineStr">
        <is>
          <t>Hastane (Kurumsal)</t>
        </is>
      </c>
      <c r="C585" t="inlineStr">
        <is>
          <t>Lead Toplama (Form)</t>
        </is>
      </c>
      <c r="D585" t="n">
        <v>321.53</v>
      </c>
    </row>
    <row r="586">
      <c r="A586" t="inlineStr">
        <is>
          <t>Doruk Hastaneleri</t>
        </is>
      </c>
      <c r="B586" t="inlineStr">
        <is>
          <t>Hastane (Kurumsal)</t>
        </is>
      </c>
      <c r="C586" t="inlineStr">
        <is>
          <t>Lead Toplama (Form)</t>
        </is>
      </c>
      <c r="D586" t="n">
        <v>321.23</v>
      </c>
    </row>
    <row r="587">
      <c r="A587" t="inlineStr">
        <is>
          <t>Doruk Hastaneleri</t>
        </is>
      </c>
      <c r="B587" t="inlineStr">
        <is>
          <t>Hastane (Kurumsal)</t>
        </is>
      </c>
      <c r="C587" t="inlineStr">
        <is>
          <t>Lead Toplama (Form)</t>
        </is>
      </c>
      <c r="D587" t="n">
        <v>320.36</v>
      </c>
    </row>
    <row r="588">
      <c r="A588" t="inlineStr">
        <is>
          <t>Doruk Hastaneleri</t>
        </is>
      </c>
      <c r="B588" t="inlineStr">
        <is>
          <t>Hastane (Kurumsal)</t>
        </is>
      </c>
      <c r="C588" t="inlineStr">
        <is>
          <t>Lead Toplama (Form)</t>
        </is>
      </c>
      <c r="D588" t="n">
        <v>320.21</v>
      </c>
    </row>
    <row r="589">
      <c r="A589" t="inlineStr">
        <is>
          <t>Doruk Hastaneleri</t>
        </is>
      </c>
      <c r="B589" t="inlineStr">
        <is>
          <t>Hastane (Kurumsal)</t>
        </is>
      </c>
      <c r="C589" t="inlineStr">
        <is>
          <t>Lead Toplama (Form)</t>
        </is>
      </c>
      <c r="D589" t="n">
        <v>319.91</v>
      </c>
    </row>
    <row r="590">
      <c r="A590" t="inlineStr">
        <is>
          <t>Doruk Hastaneleri</t>
        </is>
      </c>
      <c r="B590" t="inlineStr">
        <is>
          <t>Hastane (Kurumsal)</t>
        </is>
      </c>
      <c r="C590" t="inlineStr">
        <is>
          <t>Lead Toplama (Form)</t>
        </is>
      </c>
      <c r="D590" t="n">
        <v>319.64</v>
      </c>
    </row>
    <row r="591">
      <c r="A591" t="inlineStr">
        <is>
          <t>Doruk Hastaneleri</t>
        </is>
      </c>
      <c r="B591" t="inlineStr">
        <is>
          <t>Hastane (Kurumsal)</t>
        </is>
      </c>
      <c r="C591" t="inlineStr">
        <is>
          <t>Lead Toplama (Form)</t>
        </is>
      </c>
      <c r="D591" t="n">
        <v>319.37</v>
      </c>
    </row>
    <row r="592">
      <c r="A592" t="inlineStr">
        <is>
          <t>Doruk Hastaneleri</t>
        </is>
      </c>
      <c r="B592" t="inlineStr">
        <is>
          <t>Hastane (Kurumsal)</t>
        </is>
      </c>
      <c r="C592" t="inlineStr">
        <is>
          <t>Lead Toplama (Form)</t>
        </is>
      </c>
      <c r="D592" t="n">
        <v>318.56</v>
      </c>
    </row>
    <row r="593">
      <c r="A593" t="inlineStr">
        <is>
          <t>Doruk Hastaneleri</t>
        </is>
      </c>
      <c r="B593" t="inlineStr">
        <is>
          <t>Hastane (Kurumsal)</t>
        </is>
      </c>
      <c r="C593" t="inlineStr">
        <is>
          <t>Lead Toplama (Form)</t>
        </is>
      </c>
      <c r="D593" t="n">
        <v>317.5</v>
      </c>
    </row>
    <row r="594">
      <c r="A594" t="inlineStr">
        <is>
          <t>Doruk Hastaneleri</t>
        </is>
      </c>
      <c r="B594" t="inlineStr">
        <is>
          <t>Hastane (Kurumsal)</t>
        </is>
      </c>
      <c r="C594" t="inlineStr">
        <is>
          <t>Lead Toplama (Form)</t>
        </is>
      </c>
      <c r="D594" t="n">
        <v>317.43</v>
      </c>
    </row>
    <row r="595">
      <c r="A595" t="inlineStr">
        <is>
          <t>Doruk Hastaneleri</t>
        </is>
      </c>
      <c r="B595" t="inlineStr">
        <is>
          <t>Hastane (Kurumsal)</t>
        </is>
      </c>
      <c r="C595" t="inlineStr">
        <is>
          <t>Lead Toplama (Form)</t>
        </is>
      </c>
      <c r="D595" t="n">
        <v>316.74</v>
      </c>
    </row>
    <row r="596">
      <c r="A596" t="inlineStr">
        <is>
          <t>Doruk Hastaneleri</t>
        </is>
      </c>
      <c r="B596" t="inlineStr">
        <is>
          <t>Hastane (Kurumsal)</t>
        </is>
      </c>
      <c r="C596" t="inlineStr">
        <is>
          <t>Lead Toplama (Form)</t>
        </is>
      </c>
      <c r="D596" t="n">
        <v>315.28</v>
      </c>
    </row>
    <row r="597">
      <c r="A597" t="inlineStr">
        <is>
          <t>Doruk Hastaneleri</t>
        </is>
      </c>
      <c r="B597" t="inlineStr">
        <is>
          <t>Hastane (Kurumsal)</t>
        </is>
      </c>
      <c r="C597" t="inlineStr">
        <is>
          <t>Lead Toplama (Form)</t>
        </is>
      </c>
      <c r="D597" t="n">
        <v>313.23</v>
      </c>
    </row>
    <row r="598">
      <c r="A598" t="inlineStr">
        <is>
          <t>Doruk Hastaneleri</t>
        </is>
      </c>
      <c r="B598" t="inlineStr">
        <is>
          <t>Hastane (Kurumsal)</t>
        </is>
      </c>
      <c r="C598" t="inlineStr">
        <is>
          <t>Lead Toplama (Form)</t>
        </is>
      </c>
      <c r="D598" t="n">
        <v>312.71</v>
      </c>
    </row>
    <row r="599">
      <c r="A599" t="inlineStr">
        <is>
          <t>Doruk Hastaneleri</t>
        </is>
      </c>
      <c r="B599" t="inlineStr">
        <is>
          <t>Hastane (Kurumsal)</t>
        </is>
      </c>
      <c r="C599" t="inlineStr">
        <is>
          <t>Lead Toplama (Form)</t>
        </is>
      </c>
      <c r="D599" t="n">
        <v>312.21</v>
      </c>
    </row>
    <row r="600">
      <c r="A600" t="inlineStr">
        <is>
          <t>Doruk Hastaneleri</t>
        </is>
      </c>
      <c r="B600" t="inlineStr">
        <is>
          <t>Hastane (Kurumsal)</t>
        </is>
      </c>
      <c r="C600" t="inlineStr">
        <is>
          <t>Lead Toplama (Form)</t>
        </is>
      </c>
      <c r="D600" t="n">
        <v>311.62</v>
      </c>
    </row>
    <row r="601">
      <c r="A601" t="inlineStr">
        <is>
          <t>Doruk Hastaneleri</t>
        </is>
      </c>
      <c r="B601" t="inlineStr">
        <is>
          <t>Hastane (Kurumsal)</t>
        </is>
      </c>
      <c r="C601" t="inlineStr">
        <is>
          <t>Lead Toplama (Form)</t>
        </is>
      </c>
      <c r="D601" t="n">
        <v>311.43</v>
      </c>
    </row>
    <row r="602">
      <c r="A602" t="inlineStr">
        <is>
          <t>Doruk Estetik &amp; Saç Ekimi</t>
        </is>
      </c>
      <c r="B602" t="inlineStr">
        <is>
          <t>Estetik Marka</t>
        </is>
      </c>
      <c r="C602" t="inlineStr">
        <is>
          <t>Instagram Öne Çıkarma</t>
        </is>
      </c>
      <c r="D602" t="n">
        <v>311.14</v>
      </c>
    </row>
    <row r="603">
      <c r="A603" t="inlineStr">
        <is>
          <t>Doruk Hastaneleri</t>
        </is>
      </c>
      <c r="B603" t="inlineStr">
        <is>
          <t>Hastane (Kurumsal)</t>
        </is>
      </c>
      <c r="C603" t="inlineStr">
        <is>
          <t>Lead Toplama (Form)</t>
        </is>
      </c>
      <c r="D603" t="n">
        <v>309.67</v>
      </c>
    </row>
    <row r="604">
      <c r="A604" t="inlineStr">
        <is>
          <t>Doruk Hastaneleri</t>
        </is>
      </c>
      <c r="B604" t="inlineStr">
        <is>
          <t>Hastane (Kurumsal)</t>
        </is>
      </c>
      <c r="C604" t="inlineStr">
        <is>
          <t>Lead Toplama (Form)</t>
        </is>
      </c>
      <c r="D604" t="n">
        <v>309.15</v>
      </c>
    </row>
    <row r="605">
      <c r="A605" t="inlineStr">
        <is>
          <t>Doruk Hastaneleri</t>
        </is>
      </c>
      <c r="B605" t="inlineStr">
        <is>
          <t>Hastane (Kurumsal)</t>
        </is>
      </c>
      <c r="C605" t="inlineStr">
        <is>
          <t>Lead Toplama (Form)</t>
        </is>
      </c>
      <c r="D605" t="n">
        <v>309.15</v>
      </c>
    </row>
    <row r="606">
      <c r="A606" t="inlineStr">
        <is>
          <t>Doruk Hastaneleri</t>
        </is>
      </c>
      <c r="B606" t="inlineStr">
        <is>
          <t>Hastane (Kurumsal)</t>
        </is>
      </c>
      <c r="C606" t="inlineStr">
        <is>
          <t>Lead Toplama (Form)</t>
        </is>
      </c>
      <c r="D606" t="n">
        <v>308.41</v>
      </c>
    </row>
    <row r="607">
      <c r="A607" t="inlineStr">
        <is>
          <t>Doruk Hastaneleri</t>
        </is>
      </c>
      <c r="B607" t="inlineStr">
        <is>
          <t>Hastane (Kurumsal)</t>
        </is>
      </c>
      <c r="C607" t="inlineStr">
        <is>
          <t>Lead Toplama (Form)</t>
        </is>
      </c>
      <c r="D607" t="n">
        <v>308.3</v>
      </c>
    </row>
    <row r="608">
      <c r="A608" t="inlineStr">
        <is>
          <t>Doruk Estetik &amp; Saç Ekimi</t>
        </is>
      </c>
      <c r="B608" t="inlineStr">
        <is>
          <t>Estetik Marka</t>
        </is>
      </c>
      <c r="C608" t="inlineStr">
        <is>
          <t>Instagram Öne Çıkarma</t>
        </is>
      </c>
      <c r="D608" t="n">
        <v>308.22</v>
      </c>
    </row>
    <row r="609">
      <c r="A609" t="inlineStr">
        <is>
          <t>Doruk Hastaneleri</t>
        </is>
      </c>
      <c r="B609" t="inlineStr">
        <is>
          <t>Hastane (Kurumsal)</t>
        </is>
      </c>
      <c r="C609" t="inlineStr">
        <is>
          <t>Lead Toplama (Form)</t>
        </is>
      </c>
      <c r="D609" t="n">
        <v>308.03</v>
      </c>
    </row>
    <row r="610">
      <c r="A610" t="inlineStr">
        <is>
          <t>Doruk Hastaneleri</t>
        </is>
      </c>
      <c r="B610" t="inlineStr">
        <is>
          <t>Hastane (Kurumsal)</t>
        </is>
      </c>
      <c r="C610" t="inlineStr">
        <is>
          <t>Lead Toplama (Form)</t>
        </is>
      </c>
      <c r="D610" t="n">
        <v>307.86</v>
      </c>
    </row>
    <row r="611">
      <c r="A611" t="inlineStr">
        <is>
          <t>Doruk Hastaneleri</t>
        </is>
      </c>
      <c r="B611" t="inlineStr">
        <is>
          <t>Hastane (Kurumsal)</t>
        </is>
      </c>
      <c r="C611" t="inlineStr">
        <is>
          <t>Lead Toplama (Form)</t>
        </is>
      </c>
      <c r="D611" t="n">
        <v>307.84</v>
      </c>
    </row>
    <row r="612">
      <c r="A612" t="inlineStr">
        <is>
          <t>Doruk Estetik &amp; Saç Ekimi</t>
        </is>
      </c>
      <c r="B612" t="inlineStr">
        <is>
          <t>Estetik Marka</t>
        </is>
      </c>
      <c r="C612" t="inlineStr">
        <is>
          <t>Instagram Öne Çıkarma</t>
        </is>
      </c>
      <c r="D612" t="n">
        <v>307.62</v>
      </c>
    </row>
    <row r="613">
      <c r="A613" t="inlineStr">
        <is>
          <t>Doruk Hastaneleri</t>
        </is>
      </c>
      <c r="B613" t="inlineStr">
        <is>
          <t>Hastane (Kurumsal)</t>
        </is>
      </c>
      <c r="C613" t="inlineStr">
        <is>
          <t>Lead Toplama (Form)</t>
        </is>
      </c>
      <c r="D613" t="n">
        <v>304.5</v>
      </c>
    </row>
    <row r="614">
      <c r="A614" t="inlineStr">
        <is>
          <t>Op. Dr. Emre Çaycı</t>
        </is>
      </c>
      <c r="B614" t="inlineStr">
        <is>
          <t>Doktor Sayfaları</t>
        </is>
      </c>
      <c r="C614" t="inlineStr">
        <is>
          <t>Instagram Öne Çıkarma</t>
        </is>
      </c>
      <c r="D614" t="n">
        <v>303.78</v>
      </c>
    </row>
    <row r="615">
      <c r="A615" t="inlineStr">
        <is>
          <t>Doruk Hastaneleri</t>
        </is>
      </c>
      <c r="B615" t="inlineStr">
        <is>
          <t>Hastane (Kurumsal)</t>
        </is>
      </c>
      <c r="C615" t="inlineStr">
        <is>
          <t>Lead Toplama (Form)</t>
        </is>
      </c>
      <c r="D615" t="n">
        <v>302.87</v>
      </c>
    </row>
    <row r="616">
      <c r="A616" t="inlineStr">
        <is>
          <t>Doruk Estetik &amp; Saç Ekimi</t>
        </is>
      </c>
      <c r="B616" t="inlineStr">
        <is>
          <t>Estetik Marka</t>
        </is>
      </c>
      <c r="C616" t="inlineStr">
        <is>
          <t>Instagram Öne Çıkarma</t>
        </is>
      </c>
      <c r="D616" t="n">
        <v>302.73</v>
      </c>
    </row>
    <row r="617">
      <c r="A617" t="inlineStr">
        <is>
          <t>Doruk Hastaneleri</t>
        </is>
      </c>
      <c r="B617" t="inlineStr">
        <is>
          <t>Hastane (Kurumsal)</t>
        </is>
      </c>
      <c r="C617" t="inlineStr">
        <is>
          <t>Lead Toplama (Form)</t>
        </is>
      </c>
      <c r="D617" t="n">
        <v>301.99</v>
      </c>
    </row>
    <row r="618">
      <c r="A618" t="inlineStr">
        <is>
          <t>Doruk Hastaneleri</t>
        </is>
      </c>
      <c r="B618" t="inlineStr">
        <is>
          <t>Hastane (Kurumsal)</t>
        </is>
      </c>
      <c r="C618" t="inlineStr">
        <is>
          <t>Lead Toplama (Form)</t>
        </is>
      </c>
      <c r="D618" t="n">
        <v>301.85</v>
      </c>
    </row>
    <row r="619">
      <c r="A619" t="inlineStr">
        <is>
          <t>Doruk Hastaneleri</t>
        </is>
      </c>
      <c r="B619" t="inlineStr">
        <is>
          <t>Hastane (Kurumsal)</t>
        </is>
      </c>
      <c r="C619" t="inlineStr">
        <is>
          <t>Lead Toplama (Form)</t>
        </is>
      </c>
      <c r="D619" t="n">
        <v>301.07</v>
      </c>
    </row>
    <row r="620">
      <c r="A620" t="inlineStr">
        <is>
          <t>Doruk Hastaneleri</t>
        </is>
      </c>
      <c r="B620" t="inlineStr">
        <is>
          <t>Hastane (Kurumsal)</t>
        </is>
      </c>
      <c r="C620" t="inlineStr">
        <is>
          <t>Lead Toplama (Form)</t>
        </is>
      </c>
      <c r="D620" t="n">
        <v>299.69</v>
      </c>
    </row>
    <row r="621">
      <c r="A621" t="inlineStr">
        <is>
          <t>Doruk Hastaneleri</t>
        </is>
      </c>
      <c r="B621" t="inlineStr">
        <is>
          <t>Hastane (Kurumsal)</t>
        </is>
      </c>
      <c r="C621" t="inlineStr">
        <is>
          <t>Lead Toplama (Form)</t>
        </is>
      </c>
      <c r="D621" t="n">
        <v>297.15</v>
      </c>
    </row>
    <row r="622">
      <c r="A622" t="inlineStr">
        <is>
          <t>Doruk Hastaneleri</t>
        </is>
      </c>
      <c r="B622" t="inlineStr">
        <is>
          <t>Hastane (Kurumsal)</t>
        </is>
      </c>
      <c r="C622" t="inlineStr">
        <is>
          <t>Lead Toplama (Form)</t>
        </is>
      </c>
      <c r="D622" t="n">
        <v>295.21</v>
      </c>
    </row>
    <row r="623">
      <c r="A623" t="inlineStr">
        <is>
          <t>Doruk Hastaneleri</t>
        </is>
      </c>
      <c r="B623" t="inlineStr">
        <is>
          <t>Hastane (Kurumsal)</t>
        </is>
      </c>
      <c r="C623" t="inlineStr">
        <is>
          <t>Lead Toplama (Form)</t>
        </is>
      </c>
      <c r="D623" t="n">
        <v>293.39</v>
      </c>
    </row>
    <row r="624">
      <c r="A624" t="inlineStr">
        <is>
          <t>Doruk Hastaneleri</t>
        </is>
      </c>
      <c r="B624" t="inlineStr">
        <is>
          <t>Hastane (Kurumsal)</t>
        </is>
      </c>
      <c r="C624" t="inlineStr">
        <is>
          <t>Lead Toplama (Form)</t>
        </is>
      </c>
      <c r="D624" t="n">
        <v>290.65</v>
      </c>
    </row>
    <row r="625">
      <c r="A625" t="inlineStr">
        <is>
          <t>Doruk Hastaneleri</t>
        </is>
      </c>
      <c r="B625" t="inlineStr">
        <is>
          <t>Hastane (Kurumsal)</t>
        </is>
      </c>
      <c r="C625" t="inlineStr">
        <is>
          <t>Lead Toplama (Form)</t>
        </is>
      </c>
      <c r="D625" t="n">
        <v>288.46</v>
      </c>
    </row>
    <row r="626">
      <c r="A626" t="inlineStr">
        <is>
          <t>Doruk Hastaneleri</t>
        </is>
      </c>
      <c r="B626" t="inlineStr">
        <is>
          <t>Hastane (Kurumsal)</t>
        </is>
      </c>
      <c r="C626" t="inlineStr">
        <is>
          <t>Lead Toplama (Form)</t>
        </is>
      </c>
      <c r="D626" t="n">
        <v>287.66</v>
      </c>
    </row>
    <row r="627">
      <c r="A627" t="inlineStr">
        <is>
          <t>Doruk Hastaneleri</t>
        </is>
      </c>
      <c r="B627" t="inlineStr">
        <is>
          <t>Hastane (Kurumsal)</t>
        </is>
      </c>
      <c r="C627" t="inlineStr">
        <is>
          <t>Lead Toplama (Form)</t>
        </is>
      </c>
      <c r="D627" t="n">
        <v>285.43</v>
      </c>
    </row>
    <row r="628">
      <c r="A628" t="inlineStr">
        <is>
          <t>Doruk Hastaneleri</t>
        </is>
      </c>
      <c r="B628" t="inlineStr">
        <is>
          <t>Hastane (Kurumsal)</t>
        </is>
      </c>
      <c r="C628" t="inlineStr">
        <is>
          <t>Marka Bilinirliği (Erişim)</t>
        </is>
      </c>
      <c r="D628" t="n">
        <v>285.05</v>
      </c>
    </row>
    <row r="629">
      <c r="A629" t="inlineStr">
        <is>
          <t>Doruk Hastaneleri</t>
        </is>
      </c>
      <c r="B629" t="inlineStr">
        <is>
          <t>Hastane (Kurumsal)</t>
        </is>
      </c>
      <c r="C629" t="inlineStr">
        <is>
          <t>Lead Toplama (Form)</t>
        </is>
      </c>
      <c r="D629" t="n">
        <v>284.01</v>
      </c>
    </row>
    <row r="630">
      <c r="A630" t="inlineStr">
        <is>
          <t>Doruk Estetik &amp; Saç Ekimi</t>
        </is>
      </c>
      <c r="B630" t="inlineStr">
        <is>
          <t>Estetik Marka</t>
        </is>
      </c>
      <c r="C630" t="inlineStr">
        <is>
          <t>Instagram Öne Çıkarma</t>
        </is>
      </c>
      <c r="D630" t="n">
        <v>283.77</v>
      </c>
    </row>
    <row r="631">
      <c r="A631" t="inlineStr">
        <is>
          <t>Doruk Hastaneleri</t>
        </is>
      </c>
      <c r="B631" t="inlineStr">
        <is>
          <t>Hastane (Kurumsal)</t>
        </is>
      </c>
      <c r="C631" t="inlineStr">
        <is>
          <t>Lead Toplama (Form)</t>
        </is>
      </c>
      <c r="D631" t="n">
        <v>281.86</v>
      </c>
    </row>
    <row r="632">
      <c r="A632" t="inlineStr">
        <is>
          <t>Doruk Hastaneleri</t>
        </is>
      </c>
      <c r="B632" t="inlineStr">
        <is>
          <t>Hastane (Kurumsal)</t>
        </is>
      </c>
      <c r="C632" t="inlineStr">
        <is>
          <t>Lead Toplama (Form)</t>
        </is>
      </c>
      <c r="D632" t="n">
        <v>280.99</v>
      </c>
    </row>
    <row r="633">
      <c r="A633" t="inlineStr">
        <is>
          <t>Doruk Estetik &amp; Saç Ekimi</t>
        </is>
      </c>
      <c r="B633" t="inlineStr">
        <is>
          <t>Estetik Marka</t>
        </is>
      </c>
      <c r="C633" t="inlineStr">
        <is>
          <t>Instagram Öne Çıkarma</t>
        </is>
      </c>
      <c r="D633" t="n">
        <v>279.36</v>
      </c>
    </row>
    <row r="634">
      <c r="A634" t="inlineStr">
        <is>
          <t>Doruk Hastaneleri</t>
        </is>
      </c>
      <c r="B634" t="inlineStr">
        <is>
          <t>Hastane (Kurumsal)</t>
        </is>
      </c>
      <c r="C634" t="inlineStr">
        <is>
          <t>Lead Toplama (Form)</t>
        </is>
      </c>
      <c r="D634" t="n">
        <v>279.04</v>
      </c>
    </row>
    <row r="635">
      <c r="A635" t="inlineStr">
        <is>
          <t>Doruk Estetik &amp; Saç Ekimi</t>
        </is>
      </c>
      <c r="B635" t="inlineStr">
        <is>
          <t>Estetik Marka</t>
        </is>
      </c>
      <c r="C635" t="inlineStr">
        <is>
          <t>Instagram Öne Çıkarma</t>
        </is>
      </c>
      <c r="D635" t="n">
        <v>277.75</v>
      </c>
    </row>
    <row r="636">
      <c r="A636" t="inlineStr">
        <is>
          <t>Doruk Hastaneleri</t>
        </is>
      </c>
      <c r="B636" t="inlineStr">
        <is>
          <t>Hastane (Kurumsal)</t>
        </is>
      </c>
      <c r="C636" t="inlineStr">
        <is>
          <t>Lead Toplama (Form)</t>
        </is>
      </c>
      <c r="D636" t="n">
        <v>277.14</v>
      </c>
    </row>
    <row r="637">
      <c r="A637" t="inlineStr">
        <is>
          <t>Doruk Hastaneleri</t>
        </is>
      </c>
      <c r="B637" t="inlineStr">
        <is>
          <t>Hastane (Kurumsal)</t>
        </is>
      </c>
      <c r="C637" t="inlineStr">
        <is>
          <t>Lead Toplama (Form)</t>
        </is>
      </c>
      <c r="D637" t="n">
        <v>277.12</v>
      </c>
    </row>
    <row r="638">
      <c r="A638" t="inlineStr">
        <is>
          <t>Doruk Hastaneleri</t>
        </is>
      </c>
      <c r="B638" t="inlineStr">
        <is>
          <t>Hastane (Kurumsal)</t>
        </is>
      </c>
      <c r="C638" t="inlineStr">
        <is>
          <t>Lead Toplama (Form)</t>
        </is>
      </c>
      <c r="D638" t="n">
        <v>276.86</v>
      </c>
    </row>
    <row r="639">
      <c r="A639" t="inlineStr">
        <is>
          <t>Doruk Estetik &amp; Saç Ekimi</t>
        </is>
      </c>
      <c r="B639" t="inlineStr">
        <is>
          <t>Estetik Marka</t>
        </is>
      </c>
      <c r="C639" t="inlineStr">
        <is>
          <t>Instagram Öne Çıkarma</t>
        </is>
      </c>
      <c r="D639" t="n">
        <v>276.52</v>
      </c>
    </row>
    <row r="640">
      <c r="A640" t="inlineStr">
        <is>
          <t>Doruk Hastaneleri</t>
        </is>
      </c>
      <c r="B640" t="inlineStr">
        <is>
          <t>Hastane (Kurumsal)</t>
        </is>
      </c>
      <c r="C640" t="inlineStr">
        <is>
          <t>Lead Toplama (Form)</t>
        </is>
      </c>
      <c r="D640" t="n">
        <v>276.33</v>
      </c>
    </row>
    <row r="641">
      <c r="A641" t="inlineStr">
        <is>
          <t>Doruk Hastaneleri</t>
        </is>
      </c>
      <c r="B641" t="inlineStr">
        <is>
          <t>Hastane (Kurumsal)</t>
        </is>
      </c>
      <c r="C641" t="inlineStr">
        <is>
          <t>Lead Toplama (Form)</t>
        </is>
      </c>
      <c r="D641" t="n">
        <v>274.33</v>
      </c>
    </row>
    <row r="642">
      <c r="A642" t="inlineStr">
        <is>
          <t>Doruk Hastaneleri</t>
        </is>
      </c>
      <c r="B642" t="inlineStr">
        <is>
          <t>Hastane (Kurumsal)</t>
        </is>
      </c>
      <c r="C642" t="inlineStr">
        <is>
          <t>Lead Toplama (Form)</t>
        </is>
      </c>
      <c r="D642" t="n">
        <v>271.95</v>
      </c>
    </row>
    <row r="643">
      <c r="A643" t="inlineStr">
        <is>
          <t>Doruk Hastaneleri</t>
        </is>
      </c>
      <c r="B643" t="inlineStr">
        <is>
          <t>Hastane (Kurumsal)</t>
        </is>
      </c>
      <c r="C643" t="inlineStr">
        <is>
          <t>Lead Toplama (Form)</t>
        </is>
      </c>
      <c r="D643" t="n">
        <v>270.4</v>
      </c>
    </row>
    <row r="644">
      <c r="A644" t="inlineStr">
        <is>
          <t>Doruk Hastaneleri</t>
        </is>
      </c>
      <c r="B644" t="inlineStr">
        <is>
          <t>Hastane (Kurumsal)</t>
        </is>
      </c>
      <c r="C644" t="inlineStr">
        <is>
          <t>Lead Toplama (Form)</t>
        </is>
      </c>
      <c r="D644" t="n">
        <v>270.32</v>
      </c>
    </row>
    <row r="645">
      <c r="A645" t="inlineStr">
        <is>
          <t>Doruk Hastaneleri</t>
        </is>
      </c>
      <c r="B645" t="inlineStr">
        <is>
          <t>Hastane (Kurumsal)</t>
        </is>
      </c>
      <c r="C645" t="inlineStr">
        <is>
          <t>Lead Toplama (Form)</t>
        </is>
      </c>
      <c r="D645" t="n">
        <v>269.14</v>
      </c>
    </row>
    <row r="646">
      <c r="A646" t="inlineStr">
        <is>
          <t>Doruk Hastaneleri</t>
        </is>
      </c>
      <c r="B646" t="inlineStr">
        <is>
          <t>Hastane (Kurumsal)</t>
        </is>
      </c>
      <c r="C646" t="inlineStr">
        <is>
          <t>Lead Toplama (Form)</t>
        </is>
      </c>
      <c r="D646" t="n">
        <v>267.77</v>
      </c>
    </row>
    <row r="647">
      <c r="A647" t="inlineStr">
        <is>
          <t>Doruk Hastaneleri</t>
        </is>
      </c>
      <c r="B647" t="inlineStr">
        <is>
          <t>Hastane (Kurumsal)</t>
        </is>
      </c>
      <c r="C647" t="inlineStr">
        <is>
          <t>Lead Toplama (Form)</t>
        </is>
      </c>
      <c r="D647" t="n">
        <v>267.68</v>
      </c>
    </row>
    <row r="648">
      <c r="A648" t="inlineStr">
        <is>
          <t>Doruk Hastaneleri</t>
        </is>
      </c>
      <c r="B648" t="inlineStr">
        <is>
          <t>Hastane (Kurumsal)</t>
        </is>
      </c>
      <c r="C648" t="inlineStr">
        <is>
          <t>Lead Toplama (Form)</t>
        </is>
      </c>
      <c r="D648" t="n">
        <v>265.35</v>
      </c>
    </row>
    <row r="649">
      <c r="A649" t="inlineStr">
        <is>
          <t>Doruk Estetik &amp; Saç Ekimi</t>
        </is>
      </c>
      <c r="B649" t="inlineStr">
        <is>
          <t>Estetik Marka</t>
        </is>
      </c>
      <c r="C649" t="inlineStr">
        <is>
          <t>Instagram Öne Çıkarma</t>
        </is>
      </c>
      <c r="D649" t="n">
        <v>264.68</v>
      </c>
    </row>
    <row r="650">
      <c r="A650" t="inlineStr">
        <is>
          <t>Doruk Hastaneleri</t>
        </is>
      </c>
      <c r="B650" t="inlineStr">
        <is>
          <t>Hastane (Kurumsal)</t>
        </is>
      </c>
      <c r="C650" t="inlineStr">
        <is>
          <t>Lead Toplama (Form)</t>
        </is>
      </c>
      <c r="D650" t="n">
        <v>263.87</v>
      </c>
    </row>
    <row r="651">
      <c r="A651" t="inlineStr">
        <is>
          <t>Doruk Hastaneleri</t>
        </is>
      </c>
      <c r="B651" t="inlineStr">
        <is>
          <t>Hastane (Kurumsal)</t>
        </is>
      </c>
      <c r="C651" t="inlineStr">
        <is>
          <t>Lead Toplama (Form)</t>
        </is>
      </c>
      <c r="D651" t="n">
        <v>262.35</v>
      </c>
    </row>
    <row r="652">
      <c r="A652" t="inlineStr">
        <is>
          <t>Doruk Hastaneleri</t>
        </is>
      </c>
      <c r="B652" t="inlineStr">
        <is>
          <t>Hastane (Kurumsal)</t>
        </is>
      </c>
      <c r="C652" t="inlineStr">
        <is>
          <t>Lead Toplama (Form)</t>
        </is>
      </c>
      <c r="D652" t="n">
        <v>259.73</v>
      </c>
    </row>
    <row r="653">
      <c r="A653" t="inlineStr">
        <is>
          <t>Doruk Hastaneleri</t>
        </is>
      </c>
      <c r="B653" t="inlineStr">
        <is>
          <t>Hastane (Kurumsal)</t>
        </is>
      </c>
      <c r="C653" t="inlineStr">
        <is>
          <t>Lead Toplama (Form)</t>
        </is>
      </c>
      <c r="D653" t="n">
        <v>258.25</v>
      </c>
    </row>
    <row r="654">
      <c r="A654" t="inlineStr">
        <is>
          <t>Doruk Hastaneleri</t>
        </is>
      </c>
      <c r="B654" t="inlineStr">
        <is>
          <t>Hastane (Kurumsal)</t>
        </is>
      </c>
      <c r="C654" t="inlineStr">
        <is>
          <t>Lead Toplama (Form)</t>
        </is>
      </c>
      <c r="D654" t="n">
        <v>257.17</v>
      </c>
    </row>
    <row r="655">
      <c r="A655" t="inlineStr">
        <is>
          <t>Doruk Hastaneleri</t>
        </is>
      </c>
      <c r="B655" t="inlineStr">
        <is>
          <t>Hastane (Kurumsal)</t>
        </is>
      </c>
      <c r="C655" t="inlineStr">
        <is>
          <t>Lead Toplama (Form)</t>
        </is>
      </c>
      <c r="D655" t="n">
        <v>254.53</v>
      </c>
    </row>
    <row r="656">
      <c r="A656" t="inlineStr">
        <is>
          <t>Doruk Hastaneleri</t>
        </is>
      </c>
      <c r="B656" t="inlineStr">
        <is>
          <t>Hastane (Kurumsal)</t>
        </is>
      </c>
      <c r="C656" t="inlineStr">
        <is>
          <t>Lead Toplama (Form)</t>
        </is>
      </c>
      <c r="D656" t="n">
        <v>252.02</v>
      </c>
    </row>
    <row r="657">
      <c r="A657" t="inlineStr">
        <is>
          <t>Doruk Hastaneleri</t>
        </is>
      </c>
      <c r="B657" t="inlineStr">
        <is>
          <t>Hastane (Kurumsal)</t>
        </is>
      </c>
      <c r="C657" t="inlineStr">
        <is>
          <t>Lead Toplama (Form)</t>
        </is>
      </c>
      <c r="D657" t="n">
        <v>250.4</v>
      </c>
    </row>
    <row r="658">
      <c r="A658" t="inlineStr">
        <is>
          <t>Doruk Hastaneleri</t>
        </is>
      </c>
      <c r="B658" t="inlineStr">
        <is>
          <t>Hastane (Kurumsal)</t>
        </is>
      </c>
      <c r="C658" t="inlineStr">
        <is>
          <t>Lead Toplama (Form)</t>
        </is>
      </c>
      <c r="D658" t="n">
        <v>246.4</v>
      </c>
    </row>
    <row r="659">
      <c r="A659" t="inlineStr">
        <is>
          <t>Doruk Hastaneleri</t>
        </is>
      </c>
      <c r="B659" t="inlineStr">
        <is>
          <t>Hastane (Kurumsal)</t>
        </is>
      </c>
      <c r="C659" t="inlineStr">
        <is>
          <t>Lead Toplama (Form)</t>
        </is>
      </c>
      <c r="D659" t="n">
        <v>246.1</v>
      </c>
    </row>
    <row r="660">
      <c r="A660" t="inlineStr">
        <is>
          <t>Doruk Hastaneleri</t>
        </is>
      </c>
      <c r="B660" t="inlineStr">
        <is>
          <t>Hastane (Kurumsal)</t>
        </is>
      </c>
      <c r="C660" t="inlineStr">
        <is>
          <t>Marka Bilinirliği (Erişim)</t>
        </is>
      </c>
      <c r="D660" t="n">
        <v>243.23</v>
      </c>
    </row>
    <row r="661">
      <c r="A661" t="inlineStr">
        <is>
          <t>Doruk Hastaneleri</t>
        </is>
      </c>
      <c r="B661" t="inlineStr">
        <is>
          <t>Hastane (Kurumsal)</t>
        </is>
      </c>
      <c r="C661" t="inlineStr">
        <is>
          <t>Lead Toplama (Form)</t>
        </is>
      </c>
      <c r="D661" t="n">
        <v>241.38</v>
      </c>
    </row>
    <row r="662">
      <c r="A662" t="inlineStr">
        <is>
          <t>Doruk Hastaneleri</t>
        </is>
      </c>
      <c r="B662" t="inlineStr">
        <is>
          <t>Hastane (Kurumsal)</t>
        </is>
      </c>
      <c r="C662" t="inlineStr">
        <is>
          <t>Lead Toplama (Form)</t>
        </is>
      </c>
      <c r="D662" t="n">
        <v>240.46</v>
      </c>
    </row>
    <row r="663">
      <c r="A663" t="inlineStr">
        <is>
          <t>Doruk Hastaneleri</t>
        </is>
      </c>
      <c r="B663" t="inlineStr">
        <is>
          <t>Hastane (Kurumsal)</t>
        </is>
      </c>
      <c r="C663" t="inlineStr">
        <is>
          <t>Lead Toplama (Form)</t>
        </is>
      </c>
      <c r="D663" t="n">
        <v>239.65</v>
      </c>
    </row>
    <row r="664">
      <c r="A664" t="inlineStr">
        <is>
          <t>Doruk Hastaneleri</t>
        </is>
      </c>
      <c r="B664" t="inlineStr">
        <is>
          <t>Hastane (Kurumsal)</t>
        </is>
      </c>
      <c r="C664" t="inlineStr">
        <is>
          <t>Lead Toplama (Form)</t>
        </is>
      </c>
      <c r="D664" t="n">
        <v>239.24</v>
      </c>
    </row>
    <row r="665">
      <c r="A665" t="inlineStr">
        <is>
          <t>Doruk Hastaneleri</t>
        </is>
      </c>
      <c r="B665" t="inlineStr">
        <is>
          <t>Hastane (Kurumsal)</t>
        </is>
      </c>
      <c r="C665" t="inlineStr">
        <is>
          <t>Lead Toplama (Form)</t>
        </is>
      </c>
      <c r="D665" t="n">
        <v>237.96</v>
      </c>
    </row>
    <row r="666">
      <c r="A666" t="inlineStr">
        <is>
          <t>Doruk Hastaneleri</t>
        </is>
      </c>
      <c r="B666" t="inlineStr">
        <is>
          <t>Hastane (Kurumsal)</t>
        </is>
      </c>
      <c r="C666" t="inlineStr">
        <is>
          <t>Lead Toplama (Form)</t>
        </is>
      </c>
      <c r="D666" t="n">
        <v>236.68</v>
      </c>
    </row>
    <row r="667">
      <c r="A667" t="inlineStr">
        <is>
          <t>Doruk Hastaneleri</t>
        </is>
      </c>
      <c r="B667" t="inlineStr">
        <is>
          <t>Hastane (Kurumsal)</t>
        </is>
      </c>
      <c r="C667" t="inlineStr">
        <is>
          <t>Marka Bilinirliği (Erişim)</t>
        </is>
      </c>
      <c r="D667" t="n">
        <v>234.53</v>
      </c>
    </row>
    <row r="668">
      <c r="A668" t="inlineStr">
        <is>
          <t>Doruk Hastaneleri</t>
        </is>
      </c>
      <c r="B668" t="inlineStr">
        <is>
          <t>Hastane (Kurumsal)</t>
        </is>
      </c>
      <c r="C668" t="inlineStr">
        <is>
          <t>Lead Toplama (Form)</t>
        </is>
      </c>
      <c r="D668" t="n">
        <v>234.5</v>
      </c>
    </row>
    <row r="669">
      <c r="A669" t="inlineStr">
        <is>
          <t>Doruk Estetik &amp; Saç Ekimi</t>
        </is>
      </c>
      <c r="B669" t="inlineStr">
        <is>
          <t>Estetik Marka</t>
        </is>
      </c>
      <c r="C669" t="inlineStr">
        <is>
          <t>Instagram Öne Çıkarma</t>
        </is>
      </c>
      <c r="D669" t="n">
        <v>233.59</v>
      </c>
    </row>
    <row r="670">
      <c r="A670" t="inlineStr">
        <is>
          <t>Doruk Hastaneleri</t>
        </is>
      </c>
      <c r="B670" t="inlineStr">
        <is>
          <t>Hastane (Kurumsal)</t>
        </is>
      </c>
      <c r="C670" t="inlineStr">
        <is>
          <t>Lead Toplama (Form)</t>
        </is>
      </c>
      <c r="D670" t="n">
        <v>233.22</v>
      </c>
    </row>
    <row r="671">
      <c r="A671" t="inlineStr">
        <is>
          <t>Doruk Hastaneleri</t>
        </is>
      </c>
      <c r="B671" t="inlineStr">
        <is>
          <t>Hastane (Kurumsal)</t>
        </is>
      </c>
      <c r="C671" t="inlineStr">
        <is>
          <t>Lead Toplama (Form)</t>
        </is>
      </c>
      <c r="D671" t="n">
        <v>232.89</v>
      </c>
    </row>
    <row r="672">
      <c r="A672" t="inlineStr">
        <is>
          <t>Doruk Hastaneleri</t>
        </is>
      </c>
      <c r="B672" t="inlineStr">
        <is>
          <t>Hastane (Kurumsal)</t>
        </is>
      </c>
      <c r="C672" t="inlineStr">
        <is>
          <t>Lead Toplama (Form)</t>
        </is>
      </c>
      <c r="D672" t="n">
        <v>229.64</v>
      </c>
    </row>
    <row r="673">
      <c r="A673" t="inlineStr">
        <is>
          <t>Doruk Hastaneleri</t>
        </is>
      </c>
      <c r="B673" t="inlineStr">
        <is>
          <t>Hastane (Kurumsal)</t>
        </is>
      </c>
      <c r="C673" t="inlineStr">
        <is>
          <t>Lead Toplama (Form)</t>
        </is>
      </c>
      <c r="D673" t="n">
        <v>227.35</v>
      </c>
    </row>
    <row r="674">
      <c r="A674" t="inlineStr">
        <is>
          <t>Doruk Hastaneleri</t>
        </is>
      </c>
      <c r="B674" t="inlineStr">
        <is>
          <t>Hastane (Kurumsal)</t>
        </is>
      </c>
      <c r="C674" t="inlineStr">
        <is>
          <t>Lead Toplama (Form)</t>
        </is>
      </c>
      <c r="D674" t="n">
        <v>226.79</v>
      </c>
    </row>
    <row r="675">
      <c r="A675" t="inlineStr">
        <is>
          <t>Doruk Hastaneleri</t>
        </is>
      </c>
      <c r="B675" t="inlineStr">
        <is>
          <t>Hastane (Kurumsal)</t>
        </is>
      </c>
      <c r="C675" t="inlineStr">
        <is>
          <t>Lead Toplama (Form)</t>
        </is>
      </c>
      <c r="D675" t="n">
        <v>225.2</v>
      </c>
    </row>
    <row r="676">
      <c r="A676" t="inlineStr">
        <is>
          <t>Doruk Estetik &amp; Saç Ekimi</t>
        </is>
      </c>
      <c r="B676" t="inlineStr">
        <is>
          <t>Estetik Marka</t>
        </is>
      </c>
      <c r="C676" t="inlineStr">
        <is>
          <t>Instagram Öne Çıkarma</t>
        </is>
      </c>
      <c r="D676" t="n">
        <v>221.94</v>
      </c>
    </row>
    <row r="677">
      <c r="A677" t="inlineStr">
        <is>
          <t>Doruk Hastaneleri</t>
        </is>
      </c>
      <c r="B677" t="inlineStr">
        <is>
          <t>Hastane (Kurumsal)</t>
        </is>
      </c>
      <c r="C677" t="inlineStr">
        <is>
          <t>Lead Toplama (Form)</t>
        </is>
      </c>
      <c r="D677" t="n">
        <v>219.81</v>
      </c>
    </row>
    <row r="678">
      <c r="A678" t="inlineStr">
        <is>
          <t>Doruk Hastaneleri</t>
        </is>
      </c>
      <c r="B678" t="inlineStr">
        <is>
          <t>Hastane (Kurumsal)</t>
        </is>
      </c>
      <c r="C678" t="inlineStr">
        <is>
          <t>Marka Bilinirliği (Erişim)</t>
        </is>
      </c>
      <c r="D678" t="n">
        <v>219.15</v>
      </c>
    </row>
    <row r="679">
      <c r="A679" t="inlineStr">
        <is>
          <t>Doruk Hastaneleri</t>
        </is>
      </c>
      <c r="B679" t="inlineStr">
        <is>
          <t>Hastane (Kurumsal)</t>
        </is>
      </c>
      <c r="C679" t="inlineStr">
        <is>
          <t>Lead Toplama (Form)</t>
        </is>
      </c>
      <c r="D679" t="n">
        <v>216.14</v>
      </c>
    </row>
    <row r="680">
      <c r="A680" t="inlineStr">
        <is>
          <t>Doruk Hastaneleri</t>
        </is>
      </c>
      <c r="B680" t="inlineStr">
        <is>
          <t>Hastane (Kurumsal)</t>
        </is>
      </c>
      <c r="C680" t="inlineStr">
        <is>
          <t>Lead Toplama (Form)</t>
        </is>
      </c>
      <c r="D680" t="n">
        <v>215.8</v>
      </c>
    </row>
    <row r="681">
      <c r="A681" t="inlineStr">
        <is>
          <t>Doruk Hastaneleri</t>
        </is>
      </c>
      <c r="B681" t="inlineStr">
        <is>
          <t>Hastane (Kurumsal)</t>
        </is>
      </c>
      <c r="C681" t="inlineStr">
        <is>
          <t>Lead Toplama (Form)</t>
        </is>
      </c>
      <c r="D681" t="n">
        <v>214.96</v>
      </c>
    </row>
    <row r="682">
      <c r="A682" t="inlineStr">
        <is>
          <t>Doruk Hastaneleri</t>
        </is>
      </c>
      <c r="B682" t="inlineStr">
        <is>
          <t>Hastane (Kurumsal)</t>
        </is>
      </c>
      <c r="C682" t="inlineStr">
        <is>
          <t>Lead Toplama (Form)</t>
        </is>
      </c>
      <c r="D682" t="n">
        <v>209.44</v>
      </c>
    </row>
    <row r="683">
      <c r="A683" t="inlineStr">
        <is>
          <t>Doruk Hastaneleri</t>
        </is>
      </c>
      <c r="B683" t="inlineStr">
        <is>
          <t>Hastane (Kurumsal)</t>
        </is>
      </c>
      <c r="C683" t="inlineStr">
        <is>
          <t>Lead Toplama (Form)</t>
        </is>
      </c>
      <c r="D683" t="n">
        <v>207.04</v>
      </c>
    </row>
    <row r="684">
      <c r="A684" t="inlineStr">
        <is>
          <t>Doruk Hastaneleri</t>
        </is>
      </c>
      <c r="B684" t="inlineStr">
        <is>
          <t>Hastane (Kurumsal)</t>
        </is>
      </c>
      <c r="C684" t="inlineStr">
        <is>
          <t>Lead Toplama (Form)</t>
        </is>
      </c>
      <c r="D684" t="n">
        <v>201.99</v>
      </c>
    </row>
    <row r="685">
      <c r="A685" t="inlineStr">
        <is>
          <t>Doruk Hastaneleri</t>
        </is>
      </c>
      <c r="B685" t="inlineStr">
        <is>
          <t>Hastane (Kurumsal)</t>
        </is>
      </c>
      <c r="C685" t="inlineStr">
        <is>
          <t>Lead Toplama (Form)</t>
        </is>
      </c>
      <c r="D685" t="n">
        <v>195.79</v>
      </c>
    </row>
    <row r="686">
      <c r="A686" t="inlineStr">
        <is>
          <t>Doruk Hastaneleri</t>
        </is>
      </c>
      <c r="B686" t="inlineStr">
        <is>
          <t>Hastane (Kurumsal)</t>
        </is>
      </c>
      <c r="C686" t="inlineStr">
        <is>
          <t>Lead Toplama (Form)</t>
        </is>
      </c>
      <c r="D686" t="n">
        <v>192.38</v>
      </c>
    </row>
    <row r="687">
      <c r="A687" t="inlineStr">
        <is>
          <t>Doruk Hastaneleri</t>
        </is>
      </c>
      <c r="B687" t="inlineStr">
        <is>
          <t>Hastane (Kurumsal)</t>
        </is>
      </c>
      <c r="C687" t="inlineStr">
        <is>
          <t>Lead Toplama (Form)</t>
        </is>
      </c>
      <c r="D687" t="n">
        <v>186.88</v>
      </c>
    </row>
    <row r="688">
      <c r="A688" t="inlineStr">
        <is>
          <t>Doruk Hastaneleri</t>
        </is>
      </c>
      <c r="B688" t="inlineStr">
        <is>
          <t>Hastane (Kurumsal)</t>
        </is>
      </c>
      <c r="C688" t="inlineStr">
        <is>
          <t>Lead Toplama (Form)</t>
        </is>
      </c>
      <c r="D688" t="n">
        <v>186.03</v>
      </c>
    </row>
    <row r="689">
      <c r="A689" t="inlineStr">
        <is>
          <t>Doruk Hastaneleri</t>
        </is>
      </c>
      <c r="B689" t="inlineStr">
        <is>
          <t>Hastane (Kurumsal)</t>
        </is>
      </c>
      <c r="C689" t="inlineStr">
        <is>
          <t>Lead Toplama (Form)</t>
        </is>
      </c>
      <c r="D689" t="n">
        <v>183.14</v>
      </c>
    </row>
    <row r="690">
      <c r="A690" t="inlineStr">
        <is>
          <t>Doruk Hastaneleri</t>
        </is>
      </c>
      <c r="B690" t="inlineStr">
        <is>
          <t>Hastane (Kurumsal)</t>
        </is>
      </c>
      <c r="C690" t="inlineStr">
        <is>
          <t>Lead Toplama (Form)</t>
        </is>
      </c>
      <c r="D690" t="n">
        <v>183.04</v>
      </c>
    </row>
    <row r="691">
      <c r="A691" t="inlineStr">
        <is>
          <t>Doruk Hastaneleri</t>
        </is>
      </c>
      <c r="B691" t="inlineStr">
        <is>
          <t>Hastane (Kurumsal)</t>
        </is>
      </c>
      <c r="C691" t="inlineStr">
        <is>
          <t>Lead Toplama (Form)</t>
        </is>
      </c>
      <c r="D691" t="n">
        <v>174.91</v>
      </c>
    </row>
    <row r="692">
      <c r="A692" t="inlineStr">
        <is>
          <t>Doruk Hastaneleri</t>
        </is>
      </c>
      <c r="B692" t="inlineStr">
        <is>
          <t>Hastane (Kurumsal)</t>
        </is>
      </c>
      <c r="C692" t="inlineStr">
        <is>
          <t>Lead Toplama (Form)</t>
        </is>
      </c>
      <c r="D692" t="n">
        <v>174.23</v>
      </c>
    </row>
    <row r="693">
      <c r="A693" t="inlineStr">
        <is>
          <t>Doruk Hastaneleri</t>
        </is>
      </c>
      <c r="B693" t="inlineStr">
        <is>
          <t>Hastane (Kurumsal)</t>
        </is>
      </c>
      <c r="C693" t="inlineStr">
        <is>
          <t>Lead Toplama (Form)</t>
        </is>
      </c>
      <c r="D693" t="n">
        <v>174.15</v>
      </c>
    </row>
    <row r="694">
      <c r="A694" t="inlineStr">
        <is>
          <t>Doruk Hastaneleri</t>
        </is>
      </c>
      <c r="B694" t="inlineStr">
        <is>
          <t>Hastane (Kurumsal)</t>
        </is>
      </c>
      <c r="C694" t="inlineStr">
        <is>
          <t>Lead Toplama (Form)</t>
        </is>
      </c>
      <c r="D694" t="n">
        <v>169.25</v>
      </c>
    </row>
    <row r="695">
      <c r="A695" t="inlineStr">
        <is>
          <t>Doruk Estetik &amp; Saç Ekimi</t>
        </is>
      </c>
      <c r="B695" t="inlineStr">
        <is>
          <t>Estetik Marka</t>
        </is>
      </c>
      <c r="C695" t="inlineStr">
        <is>
          <t>Instagram Öne Çıkarma</t>
        </is>
      </c>
      <c r="D695" t="n">
        <v>169.06</v>
      </c>
    </row>
    <row r="696">
      <c r="A696" t="inlineStr">
        <is>
          <t>Doruk Estetik &amp; Saç Ekimi</t>
        </is>
      </c>
      <c r="B696" t="inlineStr">
        <is>
          <t>Estetik Marka</t>
        </is>
      </c>
      <c r="C696" t="inlineStr">
        <is>
          <t>Instagram Öne Çıkarma</t>
        </is>
      </c>
      <c r="D696" t="n">
        <v>168.97</v>
      </c>
    </row>
    <row r="697">
      <c r="A697" t="inlineStr">
        <is>
          <t>Doruk Hastaneleri</t>
        </is>
      </c>
      <c r="B697" t="inlineStr">
        <is>
          <t>Hastane (Kurumsal)</t>
        </is>
      </c>
      <c r="C697" t="inlineStr">
        <is>
          <t>Instagram Öne Çıkarma</t>
        </is>
      </c>
      <c r="D697" t="n">
        <v>163.95</v>
      </c>
    </row>
    <row r="698">
      <c r="A698" t="inlineStr">
        <is>
          <t>Doruk Estetik &amp; Saç Ekimi</t>
        </is>
      </c>
      <c r="B698" t="inlineStr">
        <is>
          <t>Estetik Marka</t>
        </is>
      </c>
      <c r="C698" t="inlineStr">
        <is>
          <t>Instagram Öne Çıkarma</t>
        </is>
      </c>
      <c r="D698" t="n">
        <v>162.79</v>
      </c>
    </row>
    <row r="699">
      <c r="A699" t="inlineStr">
        <is>
          <t>Doruk Estetik &amp; Saç Ekimi</t>
        </is>
      </c>
      <c r="B699" t="inlineStr">
        <is>
          <t>Estetik Marka</t>
        </is>
      </c>
      <c r="C699" t="inlineStr">
        <is>
          <t>Instagram Öne Çıkarma</t>
        </is>
      </c>
      <c r="D699" t="n">
        <v>161.43</v>
      </c>
    </row>
    <row r="700">
      <c r="A700" t="inlineStr">
        <is>
          <t>Doruk Hastaneleri</t>
        </is>
      </c>
      <c r="B700" t="inlineStr">
        <is>
          <t>Hastane (Kurumsal)</t>
        </is>
      </c>
      <c r="C700" t="inlineStr">
        <is>
          <t>Lead Toplama (Form)</t>
        </is>
      </c>
      <c r="D700" t="n">
        <v>155.38</v>
      </c>
    </row>
    <row r="701">
      <c r="A701" t="inlineStr">
        <is>
          <t>Doruk Hastaneleri</t>
        </is>
      </c>
      <c r="B701" t="inlineStr">
        <is>
          <t>Hastane (Kurumsal)</t>
        </is>
      </c>
      <c r="C701" t="inlineStr">
        <is>
          <t>Lead Toplama (Form)</t>
        </is>
      </c>
      <c r="D701" t="n">
        <v>155.1</v>
      </c>
    </row>
    <row r="702">
      <c r="A702" t="inlineStr">
        <is>
          <t>Doruk Hastaneleri</t>
        </is>
      </c>
      <c r="B702" t="inlineStr">
        <is>
          <t>Hastane (Kurumsal)</t>
        </is>
      </c>
      <c r="C702" t="inlineStr">
        <is>
          <t>Lead Toplama (Form)</t>
        </is>
      </c>
      <c r="D702" t="n">
        <v>154.66</v>
      </c>
    </row>
    <row r="703">
      <c r="A703" t="inlineStr">
        <is>
          <t>Doruk Hastaneleri</t>
        </is>
      </c>
      <c r="B703" t="inlineStr">
        <is>
          <t>Hastane (Kurumsal)</t>
        </is>
      </c>
      <c r="C703" t="inlineStr">
        <is>
          <t>Lead Toplama (Form)</t>
        </is>
      </c>
      <c r="D703" t="n">
        <v>153.31</v>
      </c>
    </row>
    <row r="704">
      <c r="A704" t="inlineStr">
        <is>
          <t>Doruk Estetik &amp; Saç Ekimi</t>
        </is>
      </c>
      <c r="B704" t="inlineStr">
        <is>
          <t>Estetik Marka</t>
        </is>
      </c>
      <c r="C704" t="inlineStr">
        <is>
          <t>Instagram Öne Çıkarma</t>
        </is>
      </c>
      <c r="D704" t="n">
        <v>152.48</v>
      </c>
    </row>
    <row r="705">
      <c r="A705" t="inlineStr">
        <is>
          <t>Doruk Estetik &amp; Saç Ekimi</t>
        </is>
      </c>
      <c r="B705" t="inlineStr">
        <is>
          <t>Estetik Marka</t>
        </is>
      </c>
      <c r="C705" t="inlineStr">
        <is>
          <t>Instagram Öne Çıkarma</t>
        </is>
      </c>
      <c r="D705" t="n">
        <v>151.72</v>
      </c>
    </row>
    <row r="706">
      <c r="A706" t="inlineStr">
        <is>
          <t>Doruk Hastaneleri</t>
        </is>
      </c>
      <c r="B706" t="inlineStr">
        <is>
          <t>Hastane (Kurumsal)</t>
        </is>
      </c>
      <c r="C706" t="inlineStr">
        <is>
          <t>Lead Toplama (Form)</t>
        </is>
      </c>
      <c r="D706" t="n">
        <v>149.18</v>
      </c>
    </row>
    <row r="707">
      <c r="A707" t="inlineStr">
        <is>
          <t>Doruk Hastaneleri</t>
        </is>
      </c>
      <c r="B707" t="inlineStr">
        <is>
          <t>Hastane (Kurumsal)</t>
        </is>
      </c>
      <c r="C707" t="inlineStr">
        <is>
          <t>Lead Toplama (Form)</t>
        </is>
      </c>
      <c r="D707" t="n">
        <v>149.08</v>
      </c>
    </row>
    <row r="708">
      <c r="A708" t="inlineStr">
        <is>
          <t>Doruk Hastaneleri</t>
        </is>
      </c>
      <c r="B708" t="inlineStr">
        <is>
          <t>Hastane (Kurumsal)</t>
        </is>
      </c>
      <c r="C708" t="inlineStr">
        <is>
          <t>Lead Toplama (Form)</t>
        </is>
      </c>
      <c r="D708" t="n">
        <v>148.29</v>
      </c>
    </row>
    <row r="709">
      <c r="A709" t="inlineStr">
        <is>
          <t>Doruk Hastaneleri</t>
        </is>
      </c>
      <c r="B709" t="inlineStr">
        <is>
          <t>Hastane (Kurumsal)</t>
        </is>
      </c>
      <c r="C709" t="inlineStr">
        <is>
          <t>Lead Toplama (Form)</t>
        </is>
      </c>
      <c r="D709" t="n">
        <v>147.37</v>
      </c>
    </row>
    <row r="710">
      <c r="A710" t="inlineStr">
        <is>
          <t>Doruk Estetik &amp; Saç Ekimi</t>
        </is>
      </c>
      <c r="B710" t="inlineStr">
        <is>
          <t>Estetik Marka</t>
        </is>
      </c>
      <c r="C710" t="inlineStr">
        <is>
          <t>Instagram Öne Çıkarma</t>
        </is>
      </c>
      <c r="D710" t="n">
        <v>144.23</v>
      </c>
    </row>
    <row r="711">
      <c r="A711" t="inlineStr">
        <is>
          <t>Doruk Hastaneleri</t>
        </is>
      </c>
      <c r="B711" t="inlineStr">
        <is>
          <t>Hastane (Kurumsal)</t>
        </is>
      </c>
      <c r="C711" t="inlineStr">
        <is>
          <t>Lead Toplama (Form)</t>
        </is>
      </c>
      <c r="D711" t="n">
        <v>143.97</v>
      </c>
    </row>
    <row r="712">
      <c r="A712" t="inlineStr">
        <is>
          <t>Doruk Hastaneleri</t>
        </is>
      </c>
      <c r="B712" t="inlineStr">
        <is>
          <t>Hastane (Kurumsal)</t>
        </is>
      </c>
      <c r="C712" t="inlineStr">
        <is>
          <t>Lead Toplama (Form)</t>
        </is>
      </c>
      <c r="D712" t="n">
        <v>143.51</v>
      </c>
    </row>
    <row r="713">
      <c r="A713" t="inlineStr">
        <is>
          <t>Doruk Hastaneleri</t>
        </is>
      </c>
      <c r="B713" t="inlineStr">
        <is>
          <t>Hastane (Kurumsal)</t>
        </is>
      </c>
      <c r="C713" t="inlineStr">
        <is>
          <t>Marka Bilinirliği (Erişim)</t>
        </is>
      </c>
      <c r="D713" t="n">
        <v>142.81</v>
      </c>
    </row>
    <row r="714">
      <c r="A714" t="inlineStr">
        <is>
          <t>Doruk Hastaneleri</t>
        </is>
      </c>
      <c r="B714" t="inlineStr">
        <is>
          <t>Hastane (Kurumsal)</t>
        </is>
      </c>
      <c r="C714" t="inlineStr">
        <is>
          <t>Lead Toplama (Form)</t>
        </is>
      </c>
      <c r="D714" t="n">
        <v>142.23</v>
      </c>
    </row>
    <row r="715">
      <c r="A715" t="inlineStr">
        <is>
          <t>Doruk Hastaneleri</t>
        </is>
      </c>
      <c r="B715" t="inlineStr">
        <is>
          <t>Hastane (Kurumsal)</t>
        </is>
      </c>
      <c r="C715" t="inlineStr">
        <is>
          <t>Lead Toplama (Form)</t>
        </is>
      </c>
      <c r="D715" t="n">
        <v>142.05</v>
      </c>
    </row>
    <row r="716">
      <c r="A716" t="inlineStr">
        <is>
          <t>Doruk Hastaneleri</t>
        </is>
      </c>
      <c r="B716" t="inlineStr">
        <is>
          <t>Hastane (Kurumsal)</t>
        </is>
      </c>
      <c r="C716" t="inlineStr">
        <is>
          <t>Lead Toplama (Form)</t>
        </is>
      </c>
      <c r="D716" t="n">
        <v>140.77</v>
      </c>
    </row>
    <row r="717">
      <c r="A717" t="inlineStr">
        <is>
          <t>Doruk Estetik &amp; Saç Ekimi</t>
        </is>
      </c>
      <c r="B717" t="inlineStr">
        <is>
          <t>Estetik Marka</t>
        </is>
      </c>
      <c r="C717" t="inlineStr">
        <is>
          <t>Instagram Öne Çıkarma</t>
        </is>
      </c>
      <c r="D717" t="n">
        <v>138.83</v>
      </c>
    </row>
    <row r="718">
      <c r="A718" t="inlineStr">
        <is>
          <t>Doruk Hastaneleri</t>
        </is>
      </c>
      <c r="B718" t="inlineStr">
        <is>
          <t>Hastane (Kurumsal)</t>
        </is>
      </c>
      <c r="C718" t="inlineStr">
        <is>
          <t>Instagram Öne Çıkarma</t>
        </is>
      </c>
      <c r="D718" t="n">
        <v>135.2</v>
      </c>
    </row>
    <row r="719">
      <c r="A719" t="inlineStr">
        <is>
          <t>Doruk Estetik &amp; Saç Ekimi</t>
        </is>
      </c>
      <c r="B719" t="inlineStr">
        <is>
          <t>Estetik Marka</t>
        </is>
      </c>
      <c r="C719" t="inlineStr">
        <is>
          <t>Instagram Öne Çıkarma</t>
        </is>
      </c>
      <c r="D719" t="n">
        <v>133.37</v>
      </c>
    </row>
    <row r="720">
      <c r="A720" t="inlineStr">
        <is>
          <t>Doruk Hastaneleri</t>
        </is>
      </c>
      <c r="B720" t="inlineStr">
        <is>
          <t>Hastane (Kurumsal)</t>
        </is>
      </c>
      <c r="C720" t="inlineStr">
        <is>
          <t>Lead Toplama (Form)</t>
        </is>
      </c>
      <c r="D720" t="n">
        <v>129.21</v>
      </c>
    </row>
    <row r="721">
      <c r="A721" t="inlineStr">
        <is>
          <t>Doruk Hastaneleri</t>
        </is>
      </c>
      <c r="B721" t="inlineStr">
        <is>
          <t>Hastane (Kurumsal)</t>
        </is>
      </c>
      <c r="C721" t="inlineStr">
        <is>
          <t>Lead Toplama (Form)</t>
        </is>
      </c>
      <c r="D721" t="n">
        <v>128.98</v>
      </c>
    </row>
    <row r="722">
      <c r="A722" t="inlineStr">
        <is>
          <t>Doruk Hastaneleri</t>
        </is>
      </c>
      <c r="B722" t="inlineStr">
        <is>
          <t>Hastane (Kurumsal)</t>
        </is>
      </c>
      <c r="C722" t="inlineStr">
        <is>
          <t>Lead Toplama (Form)</t>
        </is>
      </c>
      <c r="D722" t="n">
        <v>125.69</v>
      </c>
    </row>
    <row r="723">
      <c r="A723" t="inlineStr">
        <is>
          <t>Doruk Hastaneleri</t>
        </is>
      </c>
      <c r="B723" t="inlineStr">
        <is>
          <t>Hastane (Kurumsal)</t>
        </is>
      </c>
      <c r="C723" t="inlineStr">
        <is>
          <t>Marka Bilinirliği (Erişim)</t>
        </is>
      </c>
      <c r="D723" t="n">
        <v>124.1</v>
      </c>
    </row>
    <row r="724">
      <c r="A724" t="inlineStr">
        <is>
          <t>Doruk Estetik &amp; Saç Ekimi</t>
        </is>
      </c>
      <c r="B724" t="inlineStr">
        <is>
          <t>Estetik Marka</t>
        </is>
      </c>
      <c r="C724" t="inlineStr">
        <is>
          <t>Instagram Öne Çıkarma</t>
        </is>
      </c>
      <c r="D724" t="n">
        <v>119.9</v>
      </c>
    </row>
    <row r="725">
      <c r="A725" t="inlineStr">
        <is>
          <t>Doruk Hastaneleri</t>
        </is>
      </c>
      <c r="B725" t="inlineStr">
        <is>
          <t>Hastane (Kurumsal)</t>
        </is>
      </c>
      <c r="C725" t="inlineStr">
        <is>
          <t>Lead Toplama (Form)</t>
        </is>
      </c>
      <c r="D725" t="n">
        <v>99.87</v>
      </c>
    </row>
    <row r="726">
      <c r="A726" t="inlineStr">
        <is>
          <t>Doruk Hastaneleri</t>
        </is>
      </c>
      <c r="B726" t="inlineStr">
        <is>
          <t>Hastane (Kurumsal)</t>
        </is>
      </c>
      <c r="C726" t="inlineStr">
        <is>
          <t>Lead Toplama (Form)</t>
        </is>
      </c>
      <c r="D726" t="n">
        <v>94.02</v>
      </c>
    </row>
    <row r="727">
      <c r="A727" t="inlineStr">
        <is>
          <t>Doruk Hastaneleri</t>
        </is>
      </c>
      <c r="B727" t="inlineStr">
        <is>
          <t>Hastane (Kurumsal)</t>
        </is>
      </c>
      <c r="C727" t="inlineStr">
        <is>
          <t>Marka Bilinirliği (Erişim)</t>
        </is>
      </c>
      <c r="D727" t="n">
        <v>93.72</v>
      </c>
    </row>
    <row r="728">
      <c r="A728" t="inlineStr">
        <is>
          <t>Doruk Hastaneleri</t>
        </is>
      </c>
      <c r="B728" t="inlineStr">
        <is>
          <t>Hastane (Kurumsal)</t>
        </is>
      </c>
      <c r="C728" t="inlineStr">
        <is>
          <t>Marka Bilinirliği (Erişim)</t>
        </is>
      </c>
      <c r="D728" t="n">
        <v>92.98999999999999</v>
      </c>
    </row>
    <row r="729">
      <c r="A729" t="inlineStr">
        <is>
          <t>Doruk Estetik &amp; Saç Ekimi</t>
        </is>
      </c>
      <c r="B729" t="inlineStr">
        <is>
          <t>Estetik Marka</t>
        </is>
      </c>
      <c r="C729" t="inlineStr">
        <is>
          <t>Instagram Öne Çıkarma</t>
        </is>
      </c>
      <c r="D729" t="n">
        <v>92.7</v>
      </c>
    </row>
    <row r="730">
      <c r="A730" t="inlineStr">
        <is>
          <t>Doruk Hastaneleri</t>
        </is>
      </c>
      <c r="B730" t="inlineStr">
        <is>
          <t>Hastane (Kurumsal)</t>
        </is>
      </c>
      <c r="C730" t="inlineStr">
        <is>
          <t>Lead Toplama (Form)</t>
        </is>
      </c>
      <c r="D730" t="n">
        <v>91.54000000000001</v>
      </c>
    </row>
    <row r="731">
      <c r="A731" t="inlineStr">
        <is>
          <t>Doruk Hastaneleri</t>
        </is>
      </c>
      <c r="B731" t="inlineStr">
        <is>
          <t>Hastane (Kurumsal)</t>
        </is>
      </c>
      <c r="C731" t="inlineStr">
        <is>
          <t>Lead Toplama (Form)</t>
        </is>
      </c>
      <c r="D731" t="n">
        <v>91.52</v>
      </c>
    </row>
    <row r="732">
      <c r="A732" t="inlineStr">
        <is>
          <t>Doruk Hastaneleri</t>
        </is>
      </c>
      <c r="B732" t="inlineStr">
        <is>
          <t>Hastane (Kurumsal)</t>
        </is>
      </c>
      <c r="C732" t="inlineStr">
        <is>
          <t>Marka Bilinirliği (Erişim)</t>
        </is>
      </c>
      <c r="D732" t="n">
        <v>91.3</v>
      </c>
    </row>
    <row r="733">
      <c r="A733" t="inlineStr">
        <is>
          <t>Doruk Hastaneleri</t>
        </is>
      </c>
      <c r="B733" t="inlineStr">
        <is>
          <t>Hastane (Kurumsal)</t>
        </is>
      </c>
      <c r="C733" t="inlineStr">
        <is>
          <t>Lead Toplama (Form)</t>
        </is>
      </c>
      <c r="D733" t="n">
        <v>88.64</v>
      </c>
    </row>
    <row r="734">
      <c r="A734" t="inlineStr">
        <is>
          <t>Doruk Hastaneleri</t>
        </is>
      </c>
      <c r="B734" t="inlineStr">
        <is>
          <t>Hastane (Kurumsal)</t>
        </is>
      </c>
      <c r="C734" t="inlineStr">
        <is>
          <t>Lead Toplama (Form)</t>
        </is>
      </c>
      <c r="D734" t="n">
        <v>87.08</v>
      </c>
    </row>
    <row r="735">
      <c r="A735" t="inlineStr">
        <is>
          <t>Doruk Hastaneleri</t>
        </is>
      </c>
      <c r="B735" t="inlineStr">
        <is>
          <t>Hastane (Kurumsal)</t>
        </is>
      </c>
      <c r="C735" t="inlineStr">
        <is>
          <t>Lead Toplama (Form)</t>
        </is>
      </c>
      <c r="D735" t="n">
        <v>82.01000000000001</v>
      </c>
    </row>
    <row r="736">
      <c r="A736" t="inlineStr">
        <is>
          <t>Doruk Hastaneleri</t>
        </is>
      </c>
      <c r="B736" t="inlineStr">
        <is>
          <t>Hastane (Kurumsal)</t>
        </is>
      </c>
      <c r="C736" t="inlineStr">
        <is>
          <t>Lead Toplama (Form)</t>
        </is>
      </c>
      <c r="D736" t="n">
        <v>81.83</v>
      </c>
    </row>
    <row r="737">
      <c r="A737" t="inlineStr">
        <is>
          <t>Doruk Estetik &amp; Saç Ekimi</t>
        </is>
      </c>
      <c r="B737" t="inlineStr">
        <is>
          <t>Estetik Marka</t>
        </is>
      </c>
      <c r="C737" t="inlineStr">
        <is>
          <t>Instagram Öne Çıkarma</t>
        </is>
      </c>
      <c r="D737" t="n">
        <v>80.7</v>
      </c>
    </row>
    <row r="738">
      <c r="A738" t="inlineStr">
        <is>
          <t>Doruk Hastaneleri</t>
        </is>
      </c>
      <c r="B738" t="inlineStr">
        <is>
          <t>Hastane (Kurumsal)</t>
        </is>
      </c>
      <c r="C738" t="inlineStr">
        <is>
          <t>Lead Toplama (Form)</t>
        </is>
      </c>
      <c r="D738" t="n">
        <v>73.8</v>
      </c>
    </row>
    <row r="739">
      <c r="A739" t="inlineStr">
        <is>
          <t>Doruk Estetik &amp; Saç Ekimi</t>
        </is>
      </c>
      <c r="B739" t="inlineStr">
        <is>
          <t>Estetik Marka</t>
        </is>
      </c>
      <c r="C739" t="inlineStr">
        <is>
          <t>Instagram Öne Çıkarma</t>
        </is>
      </c>
      <c r="D739" t="n">
        <v>72.89</v>
      </c>
    </row>
    <row r="740">
      <c r="A740" t="inlineStr">
        <is>
          <t>Doruk Hastaneleri</t>
        </is>
      </c>
      <c r="B740" t="inlineStr">
        <is>
          <t>Hastane (Kurumsal)</t>
        </is>
      </c>
      <c r="C740" t="inlineStr">
        <is>
          <t>Lead Toplama (Form)</t>
        </is>
      </c>
      <c r="D740" t="n">
        <v>72.05</v>
      </c>
    </row>
    <row r="741">
      <c r="A741" t="inlineStr">
        <is>
          <t>Doruk Hastaneleri</t>
        </is>
      </c>
      <c r="B741" t="inlineStr">
        <is>
          <t>Hastane (Kurumsal)</t>
        </is>
      </c>
      <c r="C741" t="inlineStr">
        <is>
          <t>Lead Toplama (Form)</t>
        </is>
      </c>
      <c r="D741" t="n">
        <v>71.5</v>
      </c>
    </row>
    <row r="742">
      <c r="A742" t="inlineStr">
        <is>
          <t>Doruk Hastaneleri</t>
        </is>
      </c>
      <c r="B742" t="inlineStr">
        <is>
          <t>Hastane (Kurumsal)</t>
        </is>
      </c>
      <c r="C742" t="inlineStr">
        <is>
          <t>Lead Toplama (Form)</t>
        </is>
      </c>
      <c r="D742" t="n">
        <v>71.02</v>
      </c>
    </row>
    <row r="743">
      <c r="A743" t="inlineStr">
        <is>
          <t>Doruk Hastaneleri</t>
        </is>
      </c>
      <c r="B743" t="inlineStr">
        <is>
          <t>Hastane (Kurumsal)</t>
        </is>
      </c>
      <c r="C743" t="inlineStr">
        <is>
          <t>Lead Toplama (Form)</t>
        </is>
      </c>
      <c r="D743" t="n">
        <v>70</v>
      </c>
    </row>
    <row r="744">
      <c r="A744" t="inlineStr">
        <is>
          <t>Op. Dr. Emre Çaycı</t>
        </is>
      </c>
      <c r="B744" t="inlineStr">
        <is>
          <t>Doktor Sayfaları</t>
        </is>
      </c>
      <c r="C744" t="inlineStr">
        <is>
          <t>Instagram Öne Çıkarma</t>
        </is>
      </c>
      <c r="D744" t="n">
        <v>68.08</v>
      </c>
    </row>
    <row r="745">
      <c r="A745" t="inlineStr">
        <is>
          <t>Doruk Hastaneleri</t>
        </is>
      </c>
      <c r="B745" t="inlineStr">
        <is>
          <t>Hastane (Kurumsal)</t>
        </is>
      </c>
      <c r="C745" t="inlineStr">
        <is>
          <t>Marka Bilinirliği (Erişim)</t>
        </is>
      </c>
      <c r="D745" t="n">
        <v>67.40000000000001</v>
      </c>
    </row>
    <row r="746">
      <c r="A746" t="inlineStr">
        <is>
          <t>Doruk Hastaneleri</t>
        </is>
      </c>
      <c r="B746" t="inlineStr">
        <is>
          <t>Hastane (Kurumsal)</t>
        </is>
      </c>
      <c r="C746" t="inlineStr">
        <is>
          <t>Lead Toplama (Form)</t>
        </is>
      </c>
      <c r="D746" t="n">
        <v>67.25</v>
      </c>
    </row>
    <row r="747">
      <c r="A747" t="inlineStr">
        <is>
          <t>Doruk Hastaneleri</t>
        </is>
      </c>
      <c r="B747" t="inlineStr">
        <is>
          <t>Hastane (Kurumsal)</t>
        </is>
      </c>
      <c r="C747" t="inlineStr">
        <is>
          <t>Marka Bilinirliği (Erişim)</t>
        </is>
      </c>
      <c r="D747" t="n">
        <v>64.45999999999999</v>
      </c>
    </row>
    <row r="748">
      <c r="A748" t="inlineStr">
        <is>
          <t>Doruk Estetik &amp; Saç Ekimi</t>
        </is>
      </c>
      <c r="B748" t="inlineStr">
        <is>
          <t>Estetik Marka</t>
        </is>
      </c>
      <c r="C748" t="inlineStr">
        <is>
          <t>Instagram Öne Çıkarma</t>
        </is>
      </c>
      <c r="D748" t="n">
        <v>63.97</v>
      </c>
    </row>
    <row r="749">
      <c r="A749" t="inlineStr">
        <is>
          <t>Doruk Hastaneleri</t>
        </is>
      </c>
      <c r="B749" t="inlineStr">
        <is>
          <t>Hastane (Kurumsal)</t>
        </is>
      </c>
      <c r="C749" t="inlineStr">
        <is>
          <t>Lead Toplama (Form)</t>
        </is>
      </c>
      <c r="D749" t="n">
        <v>63.84</v>
      </c>
    </row>
    <row r="750">
      <c r="A750" t="inlineStr">
        <is>
          <t>Doruk Estetik &amp; Saç Ekimi</t>
        </is>
      </c>
      <c r="B750" t="inlineStr">
        <is>
          <t>Estetik Marka</t>
        </is>
      </c>
      <c r="C750" t="inlineStr">
        <is>
          <t>Instagram Öne Çıkarma</t>
        </is>
      </c>
      <c r="D750" t="n">
        <v>59.88</v>
      </c>
    </row>
    <row r="751">
      <c r="A751" t="inlineStr">
        <is>
          <t>Doruk Hastaneleri</t>
        </is>
      </c>
      <c r="B751" t="inlineStr">
        <is>
          <t>Hastane (Kurumsal)</t>
        </is>
      </c>
      <c r="C751" t="inlineStr">
        <is>
          <t>Lead Toplama (Form)</t>
        </is>
      </c>
      <c r="D751" t="n">
        <v>58.45</v>
      </c>
    </row>
    <row r="752">
      <c r="A752" t="inlineStr">
        <is>
          <t>Doruk Hastaneleri</t>
        </is>
      </c>
      <c r="B752" t="inlineStr">
        <is>
          <t>Hastane (Kurumsal)</t>
        </is>
      </c>
      <c r="C752" t="inlineStr">
        <is>
          <t>Lead Toplama (Form)</t>
        </is>
      </c>
      <c r="D752" t="n">
        <v>57.97</v>
      </c>
    </row>
    <row r="753">
      <c r="A753" t="inlineStr">
        <is>
          <t>Doruk Hastaneleri</t>
        </is>
      </c>
      <c r="B753" t="inlineStr">
        <is>
          <t>Hastane (Kurumsal)</t>
        </is>
      </c>
      <c r="C753" t="inlineStr">
        <is>
          <t>Lead Toplama (Form)</t>
        </is>
      </c>
      <c r="D753" t="n">
        <v>56.7</v>
      </c>
    </row>
    <row r="754">
      <c r="A754" t="inlineStr">
        <is>
          <t>Doruk Hastaneleri</t>
        </is>
      </c>
      <c r="B754" t="inlineStr">
        <is>
          <t>Hastane (Kurumsal)</t>
        </is>
      </c>
      <c r="C754" t="inlineStr">
        <is>
          <t>Lead Toplama (Form)</t>
        </is>
      </c>
      <c r="D754" t="n">
        <v>55.85</v>
      </c>
    </row>
    <row r="755">
      <c r="A755" t="inlineStr">
        <is>
          <t>Doruk Hastaneleri</t>
        </is>
      </c>
      <c r="B755" t="inlineStr">
        <is>
          <t>Hastane (Kurumsal)</t>
        </is>
      </c>
      <c r="C755" t="inlineStr">
        <is>
          <t>Lead Toplama (Form)</t>
        </is>
      </c>
      <c r="D755" t="n">
        <v>55.21</v>
      </c>
    </row>
    <row r="756">
      <c r="A756" t="inlineStr">
        <is>
          <t>Doruk Hastaneleri</t>
        </is>
      </c>
      <c r="B756" t="inlineStr">
        <is>
          <t>Hastane (Kurumsal)</t>
        </is>
      </c>
      <c r="C756" t="inlineStr">
        <is>
          <t>Lead Toplama (Form)</t>
        </is>
      </c>
      <c r="D756" t="n">
        <v>54.75</v>
      </c>
    </row>
    <row r="757">
      <c r="A757" t="inlineStr">
        <is>
          <t>Doruk Hastaneleri</t>
        </is>
      </c>
      <c r="B757" t="inlineStr">
        <is>
          <t>Hastane (Kurumsal)</t>
        </is>
      </c>
      <c r="C757" t="inlineStr">
        <is>
          <t>Lead Toplama (Form)</t>
        </is>
      </c>
      <c r="D757" t="n">
        <v>53.43</v>
      </c>
    </row>
    <row r="758">
      <c r="A758" t="inlineStr">
        <is>
          <t>Doruk Estetik &amp; Saç Ekimi</t>
        </is>
      </c>
      <c r="B758" t="inlineStr">
        <is>
          <t>Estetik Marka</t>
        </is>
      </c>
      <c r="C758" t="inlineStr">
        <is>
          <t>Instagram Öne Çıkarma</t>
        </is>
      </c>
      <c r="D758" t="n">
        <v>52.13</v>
      </c>
    </row>
    <row r="759">
      <c r="A759" t="inlineStr">
        <is>
          <t>Doruk Hastaneleri</t>
        </is>
      </c>
      <c r="B759" t="inlineStr">
        <is>
          <t>Hastane (Kurumsal)</t>
        </is>
      </c>
      <c r="C759" t="inlineStr">
        <is>
          <t>Lead Toplama (Form)</t>
        </is>
      </c>
      <c r="D759" t="n">
        <v>47.7</v>
      </c>
    </row>
    <row r="760">
      <c r="A760" t="inlineStr">
        <is>
          <t>Doruk Hastaneleri</t>
        </is>
      </c>
      <c r="B760" t="inlineStr">
        <is>
          <t>Hastane (Kurumsal)</t>
        </is>
      </c>
      <c r="C760" t="inlineStr">
        <is>
          <t>Marka Bilinirliği (Erişim)</t>
        </is>
      </c>
      <c r="D760" t="n">
        <v>46.51</v>
      </c>
    </row>
    <row r="761">
      <c r="A761" t="inlineStr">
        <is>
          <t>Doruk Hastaneleri</t>
        </is>
      </c>
      <c r="B761" t="inlineStr">
        <is>
          <t>Hastane (Kurumsal)</t>
        </is>
      </c>
      <c r="C761" t="inlineStr">
        <is>
          <t>Lead Toplama (Form)</t>
        </is>
      </c>
      <c r="D761" t="n">
        <v>45.42</v>
      </c>
    </row>
    <row r="762">
      <c r="A762" t="inlineStr">
        <is>
          <t>Doruk Hastaneleri</t>
        </is>
      </c>
      <c r="B762" t="inlineStr">
        <is>
          <t>Hastane (Kurumsal)</t>
        </is>
      </c>
      <c r="C762" t="inlineStr">
        <is>
          <t>Lead Toplama (Form)</t>
        </is>
      </c>
      <c r="D762" t="n">
        <v>42.7</v>
      </c>
    </row>
    <row r="763">
      <c r="A763" t="inlineStr">
        <is>
          <t>Doruk Hastaneleri</t>
        </is>
      </c>
      <c r="B763" t="inlineStr">
        <is>
          <t>Hastane (Kurumsal)</t>
        </is>
      </c>
      <c r="C763" t="inlineStr">
        <is>
          <t>Marka Bilinirliği (Erişim)</t>
        </is>
      </c>
      <c r="D763" t="n">
        <v>23.13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2026-07-23T10:57:49Z</dcterms:created>
  <dcterms:modified xsi:type="dcterms:W3CDTF">2026-07-23T10:57:49Z</dcterms:modified>
</cp:coreProperties>
</file>